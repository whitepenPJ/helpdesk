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uthentication &amp; Access" state="visible" r:id="rId5"/>
    <sheet sheetId="3" name="Dashboard" state="visible" r:id="rId6"/>
    <sheet sheetId="4" name="Tickets - Create" state="visible" r:id="rId7"/>
    <sheet sheetId="5" name="Tickets - List (My Tickets)" state="visible" r:id="rId8"/>
    <sheet sheetId="6" name="Tickets - Detail" state="visible" r:id="rId9"/>
    <sheet sheetId="7" name="Tickets - Assigned Queue" state="visible" r:id="rId10"/>
    <sheet sheetId="8" name="Tickets - Approval Queue" state="visible" r:id="rId11"/>
    <sheet sheetId="9" name="Ticket Management (Admin)" state="visible" r:id="rId12"/>
    <sheet sheetId="10" name="Comments &amp; Attachments" state="visible" r:id="rId13"/>
    <sheet sheetId="11" name="Notifications" state="visible" r:id="rId14"/>
    <sheet sheetId="12" name="Global Search" state="visible" r:id="rId15"/>
    <sheet sheetId="13" name="Master - Users" state="visible" r:id="rId16"/>
    <sheet sheetId="14" name="Master - User Groups" state="visible" r:id="rId17"/>
    <sheet sheetId="15" name="Master - Categories" state="visible" r:id="rId18"/>
    <sheet sheetId="16" name="Master - Companies" state="visible" r:id="rId19"/>
    <sheet sheetId="17" name="Master - Departments" state="visible" r:id="rId20"/>
    <sheet sheetId="18" name="Master - Lesson Learned" state="visible" r:id="rId21"/>
    <sheet sheetId="19" name="Profile &amp; API Tokens" state="visible" r:id="rId22"/>
    <sheet sheetId="20" name="Reports" state="visible" r:id="rId23"/>
    <sheet sheetId="21" name="MCP API" state="visible" r:id="rId24"/>
    <sheet sheetId="22" name="AI Chat (feature-flagged)" state="visible" r:id="rId25"/>
  </sheets>
  <calcPr calcId="171027"/>
</workbook>
</file>

<file path=xl/sharedStrings.xml><?xml version="1.0" encoding="utf-8"?>
<sst xmlns="http://schemas.openxmlformats.org/spreadsheetml/2006/main" count="839" uniqueCount="364">
  <si>
    <t>ID</t>
  </si>
  <si>
    <t>Module</t>
  </si>
  <si>
    <t>Result</t>
  </si>
  <si>
    <t>All</t>
  </si>
  <si>
    <t>Passed</t>
  </si>
  <si>
    <t>Failed</t>
  </si>
  <si>
    <t>#1</t>
  </si>
  <si>
    <t>Authentication &amp; Access</t>
  </si>
  <si>
    <t>#2</t>
  </si>
  <si>
    <t>Dashboard</t>
  </si>
  <si>
    <t>#3</t>
  </si>
  <si>
    <t>Tickets - Create</t>
  </si>
  <si>
    <t>#4</t>
  </si>
  <si>
    <t>Tickets - List (My Tickets)</t>
  </si>
  <si>
    <t>#5</t>
  </si>
  <si>
    <t>Tickets - Detail</t>
  </si>
  <si>
    <t>#6</t>
  </si>
  <si>
    <t>Tickets - Assigned Queue</t>
  </si>
  <si>
    <t>#7</t>
  </si>
  <si>
    <t>Tickets - Approval Queue</t>
  </si>
  <si>
    <t>#8</t>
  </si>
  <si>
    <t>Ticket Management (Admin)</t>
  </si>
  <si>
    <t>#9</t>
  </si>
  <si>
    <t>Comments &amp; Attachments</t>
  </si>
  <si>
    <t>#10</t>
  </si>
  <si>
    <t>Notifications</t>
  </si>
  <si>
    <t>#11</t>
  </si>
  <si>
    <t>Global Search</t>
  </si>
  <si>
    <t>#12</t>
  </si>
  <si>
    <t>Master - Users</t>
  </si>
  <si>
    <t>#13</t>
  </si>
  <si>
    <t>Master - User Groups</t>
  </si>
  <si>
    <t>#14</t>
  </si>
  <si>
    <t>Master - Categories</t>
  </si>
  <si>
    <t>#15</t>
  </si>
  <si>
    <t>Master - Companies</t>
  </si>
  <si>
    <t>#16</t>
  </si>
  <si>
    <t>Master - Departments</t>
  </si>
  <si>
    <t>#17</t>
  </si>
  <si>
    <t>Master - Lesson Learned</t>
  </si>
  <si>
    <t>#18</t>
  </si>
  <si>
    <t>Profile &amp; API Tokens</t>
  </si>
  <si>
    <t>#19</t>
  </si>
  <si>
    <t>Reports</t>
  </si>
  <si>
    <t>#20</t>
  </si>
  <si>
    <t>MCP API</t>
  </si>
  <si>
    <t>#21</t>
  </si>
  <si>
    <t>AI Chat (feature-flagged)</t>
  </si>
  <si>
    <t>Sum</t>
  </si>
  <si>
    <t>Module Name</t>
  </si>
  <si>
    <t>Description</t>
  </si>
  <si>
    <t xml:space="preserve">Sign-in (email + password via Credentials, and Microsoft Entra ID / Azure AD),
sign-out, forgot-password, and route protection enforced by proxy.ts.
Roles: ADMIN, SUPERVISOR (shown as "Approver" in the UI), USER.
Demo accounts: admin@demo.com / supervisor@demo.com / user1@demo.com,
all with password P@ssw0rd.</t>
  </si>
  <si>
    <t>Tester Name</t>
  </si>
  <si>
    <t/>
  </si>
  <si>
    <t>Test Date</t>
  </si>
  <si>
    <t>No</t>
  </si>
  <si>
    <t>Scenario</t>
  </si>
  <si>
    <t>Test Step</t>
  </si>
  <si>
    <t>Expected Result</t>
  </si>
  <si>
    <t>Actual Result</t>
  </si>
  <si>
    <t>Pass / Fail</t>
  </si>
  <si>
    <t>Credentials sign-in</t>
  </si>
  <si>
    <t xml:space="preserve">1. Open /login
2. Enter admin@demo.com / P@ssw0rd
3. Submit</t>
  </si>
  <si>
    <t>Redirected to /dashboard (role home). Navbar shows the signed-in user. Session cookie is set.</t>
  </si>
  <si>
    <t xml:space="preserve">1. Open /login
2. Enter a valid email with a wrong password
3. Submit</t>
  </si>
  <si>
    <t>Stays on /login with an "invalid email or password" error. No session is created.</t>
  </si>
  <si>
    <t>1. Sign in with an account whose status is INACTIVE or SUSPENDED</t>
  </si>
  <si>
    <t>Sign-in is rejected even though the password is correct.</t>
  </si>
  <si>
    <t>Role-based landing</t>
  </si>
  <si>
    <t xml:space="preserve">1. Sign in as supervisor@demo.com
2. Observe the landing page</t>
  </si>
  <si>
    <t>Lands on /tickets/approval. A USER lands on /tickets; an ADMIN on /dashboard.</t>
  </si>
  <si>
    <t>Route protection</t>
  </si>
  <si>
    <t>1. While signed out, request /tickets directly</t>
  </si>
  <si>
    <t>Redirected to /login?callbackUrl=/tickets. After signing in, returned to /tickets.</t>
  </si>
  <si>
    <t>1. While signed in, open /login</t>
  </si>
  <si>
    <t>Redirected away from /login to the role home page.</t>
  </si>
  <si>
    <t>Microsoft Entra ID</t>
  </si>
  <si>
    <t xml:space="preserve">1. On /login click "Sign in with Microsoft"
2. Complete the Microsoft prompt</t>
  </si>
  <si>
    <t>Returns authenticated. A brand-new Entra account is created with role USER.</t>
  </si>
  <si>
    <t>Forgot password</t>
  </si>
  <si>
    <t xml:space="preserve">1. Open /forgot-password
2. Submit a known email address</t>
  </si>
  <si>
    <t>A neutral confirmation is shown (no account enumeration).</t>
  </si>
  <si>
    <t>Sign out</t>
  </si>
  <si>
    <t>1. From any page use the navbar "Sign out"</t>
  </si>
  <si>
    <t>Session cleared; redirected to /login. Back button does not restore an authenticated view.</t>
  </si>
  <si>
    <t>Admin landing page: KPI tiles for ticket status buckets, recent activity, and quick links that deep-link into Ticket Management pre-filtered.</t>
  </si>
  <si>
    <t>KPI tiles</t>
  </si>
  <si>
    <t xml:space="preserve">1. Sign in as admin
2. Open /dashboard</t>
  </si>
  <si>
    <t>Tiles show counts for Open (NEW/ASSIGNED/REOPENED), Pending Approval (WAITING) and Awaiting Customer Close (RESOLVED).</t>
  </si>
  <si>
    <t>1. Click the "Open" KPI tile</t>
  </si>
  <si>
    <t>Navigates to Ticket Management with the Status filter already set to Open.</t>
  </si>
  <si>
    <t>Access control</t>
  </si>
  <si>
    <t xml:space="preserve">1. Sign in as a USER
2. Request /dashboard directly</t>
  </si>
  <si>
    <t>Not permitted for non-admins; redirected to the role home page.</t>
  </si>
  <si>
    <t>Empty state</t>
  </si>
  <si>
    <t>1. View the dashboard on a database with no tickets</t>
  </si>
  <si>
    <t>Tiles render 0 without error; no broken charts.</t>
  </si>
  <si>
    <t>New ticket form (/tickets/new). Requires title, description and telephone. Category is required. When the category needs approval, an approver message is required. Company/Department come from the creator's profile.</t>
  </si>
  <si>
    <t>Happy path</t>
  </si>
  <si>
    <t xml:space="preserve">1. Open /tickets/new
2. Fill title, description, telephone, category
3. Submit</t>
  </si>
  <si>
    <t>Ticket created with a generated ticketNumber and status NEW. Redirected to the ticket detail page.</t>
  </si>
  <si>
    <t>Validation</t>
  </si>
  <si>
    <t>1. Submit the form with title / description / telephone blank (or whitespace only)</t>
  </si>
  <si>
    <t>Inline errors on each empty field. Nothing is saved.</t>
  </si>
  <si>
    <t>1. Submit without choosing a category</t>
  </si>
  <si>
    <t>"Select a category" error; no ticket created.</t>
  </si>
  <si>
    <t>Approval-required category</t>
  </si>
  <si>
    <t xml:space="preserve">1. Choose a category that requires approval
2. Leave the approver message blank
3. Submit</t>
  </si>
  <si>
    <t>"Enter a message for the approver" error. With a message, the ticket is created and an approval request is opened.</t>
  </si>
  <si>
    <t>Profile prerequisite</t>
  </si>
  <si>
    <t>1. As a user with no company/department set, submit a ticket</t>
  </si>
  <si>
    <t>Blocked with a message to have an admin set company/department on the profile first.</t>
  </si>
  <si>
    <t>Open on behalf of others</t>
  </si>
  <si>
    <t xml:space="preserve">1. As an admin (or a user with canOpenTicketForOthers), open the form
2. Change the Creator field</t>
  </si>
  <si>
    <t>Creator selector is available and the ticket is filed for the chosen user. A normal user cannot change the creator.</t>
  </si>
  <si>
    <t>Attachments</t>
  </si>
  <si>
    <t xml:space="preserve">1. Attach one or more files
2. Submit</t>
  </si>
  <si>
    <t>Files are stored and listed on the ticket detail attachments section.</t>
  </si>
  <si>
    <t>The requester's own tickets at /tickets: search by title/number, status filter, sortable columns, pagination.</t>
  </si>
  <si>
    <t>Listing</t>
  </si>
  <si>
    <t xml:space="preserve">1. Sign in as a user with tickets
2. Open /tickets</t>
  </si>
  <si>
    <t>Only tickets created by this user are listed, newest first by default.</t>
  </si>
  <si>
    <t>Search</t>
  </si>
  <si>
    <t>1. Type part of a ticket title or ticketNumber in the search box</t>
  </si>
  <si>
    <t>List narrows to matches (case-insensitive). Clearing the box restores the full list.</t>
  </si>
  <si>
    <t>Status filter</t>
  </si>
  <si>
    <t>1. Choose a status from the filter dropdown</t>
  </si>
  <si>
    <t>Only tickets in that status are shown; the choice is preserved in the URL and in pagination links.</t>
  </si>
  <si>
    <t>Sorting &amp; paging</t>
  </si>
  <si>
    <t xml:space="preserve">1. Click a sortable column header
2. Change rows-per-page
3. Move to page 2</t>
  </si>
  <si>
    <t>Sort direction toggles; page size persists; page navigation keeps the current search/filter/sort.</t>
  </si>
  <si>
    <t>Edit gating</t>
  </si>
  <si>
    <t xml:space="preserve">1. Open a ticket that is still NEW
2. Open a ticket that has moved past NEW</t>
  </si>
  <si>
    <t>Edit is offered only while the ticket is NEW (owner or admin).</t>
  </si>
  <si>
    <t>Ticket detail page with explicit View and Edit modes. Shows requester, assignees, assigned group, department approvers, history timeline, comments and approval status.</t>
  </si>
  <si>
    <t>Visibility (non-admin)</t>
  </si>
  <si>
    <t>1. As a user, open a ticket you did not create and are not assigned to</t>
  </si>
  <si>
    <t>404 / not found. Visible only to the owner, an individual assignee, a member of the assigned group, or a department approver.</t>
  </si>
  <si>
    <t>Visibility (assigned group)</t>
  </si>
  <si>
    <t xml:space="preserve">1. Assign a ticket to a group
2. Sign in as a member of that group
3. Open the ticket</t>
  </si>
  <si>
    <t>Ticket is visible. A user in none of the assigned groups still cannot see it.</t>
  </si>
  <si>
    <t>View / Edit modes</t>
  </si>
  <si>
    <t xml:space="preserve">1. Open a ticket in View mode
2. Use the Edit link</t>
  </si>
  <si>
    <t>View mode shows read-only fields plus an Edit link; Edit mode shows the editable form and admin actions.</t>
  </si>
  <si>
    <t>Deleted tickets</t>
  </si>
  <si>
    <t>1. As a non-admin, open a soft-deleted ticket by URL</t>
  </si>
  <si>
    <t>Not found. Only admins see deleted tickets (via Ticket Management's "Show deleted").</t>
  </si>
  <si>
    <t>History timeline</t>
  </si>
  <si>
    <t xml:space="preserve">1. Perform a state change (assign, resolve, reopen)
2. Reopen the detail page</t>
  </si>
  <si>
    <t>A TicketHistory entry with actor and timestamp appears in the timeline.</t>
  </si>
  <si>
    <t>/tickets/assigned - tickets assigned to the signed-in user individually (TicketAssignee) or to any group they belong to (TicketAssignedGroup, via UserGroupMember). Default order is assignee-actionability, not a plain column sort.</t>
  </si>
  <si>
    <t>Membership scope</t>
  </si>
  <si>
    <t xml:space="preserve">1. Add the user to two groups, each assigned different tickets
2. Open /tickets/assigned</t>
  </si>
  <si>
    <t>Tickets from BOTH groups appear, plus any assigned to the user individually.</t>
  </si>
  <si>
    <t xml:space="preserve">1. Remove the user from all groups
2. Open /tickets/assigned</t>
  </si>
  <si>
    <t>Only individually-assigned tickets remain; no group tickets leak through.</t>
  </si>
  <si>
    <t>Default ordering</t>
  </si>
  <si>
    <t>1. View the queue with no explicit sort</t>
  </si>
  <si>
    <t>ASSIGNED/REOPENED/NEW first, then RESOLVED, then WAITING, then CLOSED.</t>
  </si>
  <si>
    <t>Search &amp; status filter</t>
  </si>
  <si>
    <t>1. Search by title/number and apply a status filter</t>
  </si>
  <si>
    <t>Results stay within the user's assigned scope and match the filters; paging preserves them.</t>
  </si>
  <si>
    <t>/tickets/approval - supervisors (department approvers) see pending TicketApproval requests for their department and approve or reject them. First approver to act wins.</t>
  </si>
  <si>
    <t>Queue scope</t>
  </si>
  <si>
    <t xml:space="preserve">1. Sign in as a supervisor
2. Open /tickets/approval</t>
  </si>
  <si>
    <t>Only PENDING approvals for departments where the user is a DepartmentApprover are listed.</t>
  </si>
  <si>
    <t>Approve</t>
  </si>
  <si>
    <t xml:space="preserve">1. Open a pending request
2. Approve with a comment</t>
  </si>
  <si>
    <t>TicketApproval.status becomes APPROVED, decidedAt and supervisorId are recorded, and the ticket proceeds. History entry added.</t>
  </si>
  <si>
    <t>Reject</t>
  </si>
  <si>
    <t xml:space="preserve">1. Open a pending request
2. Reject with a reason</t>
  </si>
  <si>
    <t>Status becomes REJECTED with the reason stored; requester is notified; ticket does not proceed.</t>
  </si>
  <si>
    <t>Race / first-wins</t>
  </si>
  <si>
    <t xml:space="preserve">1. Two approvers open the same request
2. Both submit a decision</t>
  </si>
  <si>
    <t>The first decision is applied; the second sees that it is already decided and cannot override it.</t>
  </si>
  <si>
    <t>Authorization</t>
  </si>
  <si>
    <t>1. As a non-approver, POST a decision to the approval action directly</t>
  </si>
  <si>
    <t>Rejected server-side (role/department re-checked in the Server Action).</t>
  </si>
  <si>
    <t>/transaction/ticket-management - admin triage: assign to users and/or groups, change status, soft-delete with a reason and restore, "Show deleted" filter, bulk-style row actions.</t>
  </si>
  <si>
    <t>Assignment</t>
  </si>
  <si>
    <t xml:space="preserve">1. Open the Assign modal on a ticket
2. Pick one or more assignees and/or one or more groups
3. Save</t>
  </si>
  <si>
    <t>TicketAssignee / TicketAssignedGroup rows are replaced to match the selection. Recipients are notified. History entry added.</t>
  </si>
  <si>
    <t xml:space="preserve">1. Clear all assignees and groups
2. Save</t>
  </si>
  <si>
    <t>Ticket shows as Unassigned.</t>
  </si>
  <si>
    <t>Soft delete</t>
  </si>
  <si>
    <t xml:space="preserve">1. Delete a ticket
2. Submit with the reason blank</t>
  </si>
  <si>
    <t>"Enter a reason" error. With a reason, deletedAt/deletedById are set and the ticket drops out of normal lists.</t>
  </si>
  <si>
    <t>Restore &amp; show deleted</t>
  </si>
  <si>
    <t xml:space="preserve">1. Enable "Show deleted"
2. Restore a deleted ticket</t>
  </si>
  <si>
    <t>Deleted tickets are listed only with the filter on; restore clears deletedAt and returns it to normal lists.</t>
  </si>
  <si>
    <t>Status change</t>
  </si>
  <si>
    <t>1. Move a ticket NEW -&gt; ASSIGNED -&gt; RESOLVED -&gt; CLOSED</t>
  </si>
  <si>
    <t>Each transition is persisted with resolvedAt/closedAt set where relevant and a history entry per step.</t>
  </si>
  <si>
    <t>Ticket comment thread. Anyone who can view a ticket can comment: owner, individual assignee, a member of any assigned group, or the reviewing supervisor. Comments may carry file attachments.</t>
  </si>
  <si>
    <t>Add comment</t>
  </si>
  <si>
    <t>1. As the ticket owner, post a comment</t>
  </si>
  <si>
    <t>Comment appears immediately with author and timestamp; assignees/watchers are notified.</t>
  </si>
  <si>
    <t>1. Submit an empty or whitespace-only comment</t>
  </si>
  <si>
    <t>"Enter a comment" error; nothing is posted.</t>
  </si>
  <si>
    <t>Permission - group member</t>
  </si>
  <si>
    <t xml:space="preserve">1. Assign the ticket to a group
2. As a member of that group, post a comment</t>
  </si>
  <si>
    <t>Allowed. A user in none of the assigned groups is refused (server-side check).</t>
  </si>
  <si>
    <t>Permission - outsider</t>
  </si>
  <si>
    <t>1. As an unrelated user, POST to the comment action directly</t>
  </si>
  <si>
    <t>Rejected; no comment is stored.</t>
  </si>
  <si>
    <t>1. Attach a file to a comment and post</t>
  </si>
  <si>
    <t>The attachment is saved and downloadable from the thread.</t>
  </si>
  <si>
    <t>Header bell with an unread badge, a notifications list, and a "seen" marker (User.notificationsSeenAt) that clears the badge. Unread count is also exposed via /api/notifications/unread-count.</t>
  </si>
  <si>
    <t>Badge</t>
  </si>
  <si>
    <t xml:space="preserve">1. Trigger an event that notifies the user (assignment, comment, approval decision)
2. Look at the header bell</t>
  </si>
  <si>
    <t>Unread badge count increases.</t>
  </si>
  <si>
    <t>Mark seen</t>
  </si>
  <si>
    <t>1. Open the notifications dropdown / page</t>
  </si>
  <si>
    <t>notificationsSeenAt is updated; the badge clears while older items remain listed.</t>
  </si>
  <si>
    <t>Deep link</t>
  </si>
  <si>
    <t>1. Click a notification row</t>
  </si>
  <si>
    <t>Navigates to the related ticket/approval.</t>
  </si>
  <si>
    <t>API</t>
  </si>
  <si>
    <t>1. GET /api/notifications/unread-count while signed in</t>
  </si>
  <si>
    <t>Returns the current unread count for the caller only.</t>
  </si>
  <si>
    <t>/search and /api/tickets/search - searches tickets and related records scoped to the caller's role/programs (admins see all; users see their own; assignees see their queue).</t>
  </si>
  <si>
    <t>Scope</t>
  </si>
  <si>
    <t>1. As a USER, search a term that matches another user's ticket</t>
  </si>
  <si>
    <t>That ticket is not returned; only the caller's own / assigned records match.</t>
  </si>
  <si>
    <t>Matching</t>
  </si>
  <si>
    <t>1. Search a partial ticket title and a partial ticketNumber</t>
  </si>
  <si>
    <t>Both return the ticket (case-insensitive contains).</t>
  </si>
  <si>
    <t>Empty query</t>
  </si>
  <si>
    <t>1. Submit an empty search</t>
  </si>
  <si>
    <t>No results and no error.</t>
  </si>
  <si>
    <t>Result cap</t>
  </si>
  <si>
    <t>1. Search a very common term</t>
  </si>
  <si>
    <t>Results are capped to a sane maximum rather than returning everything.</t>
  </si>
  <si>
    <t>/master/user (admin) - list with search + role filter, create/edit/view, set role and status, assign company/department/telephone, import from Excel, export to Excel.</t>
  </si>
  <si>
    <t>Create</t>
  </si>
  <si>
    <t>1. Create a user with name, email, role, password (&gt;= 8 chars)</t>
  </si>
  <si>
    <t>User is created ACTIVE. Duplicate email is rejected. Blank name / invalid email / short password are rejected.</t>
  </si>
  <si>
    <t>Edit</t>
  </si>
  <si>
    <t xml:space="preserve">1. Change a user's role and status
2. Save</t>
  </si>
  <si>
    <t>Changes persist. A suspended/inactive user can no longer sign in.</t>
  </si>
  <si>
    <t>List filters</t>
  </si>
  <si>
    <t>1. Filter by role and search by name/email</t>
  </si>
  <si>
    <t>List narrows correctly; filter + search are both preserved in pagination and the export link.</t>
  </si>
  <si>
    <t>Import</t>
  </si>
  <si>
    <t xml:space="preserve">1. Upload a valid users .xlsx
2. Upload a malformed file</t>
  </si>
  <si>
    <t>Valid rows are created/updated with a summary; a malformed file is reported without partial corruption.</t>
  </si>
  <si>
    <t>Export</t>
  </si>
  <si>
    <t>1. Click Export with a role filter active</t>
  </si>
  <si>
    <t>Downloaded .xlsx contains exactly the filtered users, including company and department columns.</t>
  </si>
  <si>
    <t>Company / Department display</t>
  </si>
  <si>
    <t>1. Open a user with a department assigned</t>
  </si>
  <si>
    <t>Company and Department names render (via the renamed `department` relation).</t>
  </si>
  <si>
    <t>/master/user-group (admin) - assignment pools. A user may belong to MANY groups (UserGroupMember join). Create stages members client-side; edit replaces membership wholesale; delete is blocked while the group has members or assigned tickets.</t>
  </si>
  <si>
    <t>Create with members</t>
  </si>
  <si>
    <t xml:space="preserve">1. Create a group and stage several users as members
2. Save</t>
  </si>
  <si>
    <t>Group is created and one UserGroupMember row per staged user is written.</t>
  </si>
  <si>
    <t>Multi-group membership</t>
  </si>
  <si>
    <t xml:space="preserve">1. Add user X to Group A
2. Also add user X to Group B</t>
  </si>
  <si>
    <t>X is a member of BOTH groups; adding to B does not remove X from A.</t>
  </si>
  <si>
    <t>Edit membership</t>
  </si>
  <si>
    <t xml:space="preserve">1. Open Group A edit
2. Remove one member, add another
3. Save</t>
  </si>
  <si>
    <t>Group A's membership matches the staged list exactly; the removed user's memberships in OTHER groups are untouched.</t>
  </si>
  <si>
    <t>1. Save a group with a blank name, or a name that already exists</t>
  </si>
  <si>
    <t>"Enter a group name" / "already exists" error; nothing saved.</t>
  </si>
  <si>
    <t>Delete guard</t>
  </si>
  <si>
    <t>1. Try to delete a group that still has members or assigned tickets</t>
  </si>
  <si>
    <t>Redirected back with "group still has members or assigned tickets". Deletion succeeds only once both are cleared.</t>
  </si>
  <si>
    <t>List counts</t>
  </si>
  <si>
    <t>1. View the group list</t>
  </si>
  <si>
    <t>Members and Tickets columns show correct counts; sorting by Members orders by membership count.</t>
  </si>
  <si>
    <t>/master/category (admin) - ticket categories, the admins who own each (CategoryAdmin), the responsible user groups (CategoryUserGroup), active flag, and whether the category needs approval.</t>
  </si>
  <si>
    <t xml:space="preserve">1. Create a category with a unique name
2. Attach responsible groups and category admins</t>
  </si>
  <si>
    <t>Category and its CategoryUserGroup / CategoryAdmin links are created. Duplicate / blank name is rejected.</t>
  </si>
  <si>
    <t>Edit links</t>
  </si>
  <si>
    <t>1. Edit a category and change its responsible groups</t>
  </si>
  <si>
    <t>Old CategoryUserGroup rows are removed and the new set inserted; only active groups are selectable.</t>
  </si>
  <si>
    <t>New-ticket routing</t>
  </si>
  <si>
    <t>1. File a ticket under a category with responsible groups</t>
  </si>
  <si>
    <t>The ticket is auto-assigned to those groups and notifications go to their active members.</t>
  </si>
  <si>
    <t>Active flag</t>
  </si>
  <si>
    <t>1. Deactivate a category</t>
  </si>
  <si>
    <t>It no longer appears in the New Ticket category picker but existing tickets keep it.</t>
  </si>
  <si>
    <t>/master/company (admin) - company records (code, name, address, taxId, active) with department and user counts.</t>
  </si>
  <si>
    <t>Create / Edit</t>
  </si>
  <si>
    <t xml:space="preserve">1. Create a company with a unique code and a name
2. Edit its address / taxId</t>
  </si>
  <si>
    <t>Saved. Blank name is rejected; duplicate code is rejected.</t>
  </si>
  <si>
    <t>List</t>
  </si>
  <si>
    <t>1. View the company list</t>
  </si>
  <si>
    <t>Department and user counts render; search by name works; sorting and paging preserve the query.</t>
  </si>
  <si>
    <t>1. Deactivate a company</t>
  </si>
  <si>
    <t>It is excluded from company pickers used elsewhere but existing links remain.</t>
  </si>
  <si>
    <t>Departments under a company, each with one or more approvers (DepartmentApprover). Replaces the old single supervisorId column. Delete is guarded when in use.</t>
  </si>
  <si>
    <t xml:space="preserve">1. Create a department under a company
2. Add two approvers</t>
  </si>
  <si>
    <t>Department is saved with both DepartmentApprover rows. Name is unique per company.</t>
  </si>
  <si>
    <t>Approver routing</t>
  </si>
  <si>
    <t>1. Raise an approval-required ticket in that department</t>
  </si>
  <si>
    <t>All department approvers see the request in their approval queue; any one can decide it.</t>
  </si>
  <si>
    <t>1. Try to delete a department that has users or tickets</t>
  </si>
  <si>
    <t>Blocked with an in-use message; allowed once empty.</t>
  </si>
  <si>
    <t>/master/lesson-learned (admin) - reusable knowledge entries (title, rich-text description, images, attachments, active flag) surfaced to the AI assistant and referenced from tickets.</t>
  </si>
  <si>
    <t>1. Create an entry with a title and description</t>
  </si>
  <si>
    <t>Saved and listed. Blank title is rejected; a description that is only empty markup is rejected.</t>
  </si>
  <si>
    <t>Media</t>
  </si>
  <si>
    <t>1. Add images and file attachments to an entry</t>
  </si>
  <si>
    <t>They are stored and shown on the view page.</t>
  </si>
  <si>
    <t>1. Deactivate an entry</t>
  </si>
  <si>
    <t>It is excluded from active-only lookups (e.g. the assistant) but remains editable in Master.</t>
  </si>
  <si>
    <t>1. Search and sort the list</t>
  </si>
  <si>
    <t>Search matches title; sort/paging preserve the query.</t>
  </si>
  <si>
    <t>/profile - edit own name/telephone, self-service password change, and personal access tokens (used by the MCP server). Company/Department are read-only, set by an admin. Only a SHA-256 hash of each token is stored.</t>
  </si>
  <si>
    <t>Edit profile</t>
  </si>
  <si>
    <t xml:space="preserve">1. Change name / telephone and save
2. Submit with a blank name</t>
  </si>
  <si>
    <t>Valid changes persist; a blank name is rejected. Company/Department are not editable here.</t>
  </si>
  <si>
    <t>Change password</t>
  </si>
  <si>
    <t xml:space="preserve">1. Enter the correct current password and a new password (&gt;= 8 chars)
2. Submit</t>
  </si>
  <si>
    <t>Password is updated (bcrypt) and the next sign-in requires it. Wrong current password or a short new password is rejected.</t>
  </si>
  <si>
    <t>Create API token</t>
  </si>
  <si>
    <t>1. Create a token named e.g. "MCP laptop"</t>
  </si>
  <si>
    <t>The raw token (hd_ + 48 hex) is shown ONCE. Only its hash is stored. A blank name is rejected.</t>
  </si>
  <si>
    <t>Use API token</t>
  </si>
  <si>
    <t>1. Call /api/mcp with Authorization: Bearer &lt;token&gt;</t>
  </si>
  <si>
    <t>Resolves to the owning user. lastUsedAt is updated. An unknown or revoked token gets 401.</t>
  </si>
  <si>
    <t>Revoke API token</t>
  </si>
  <si>
    <t xml:space="preserve">1. Delete a token
2. Retry the previous MCP call</t>
  </si>
  <si>
    <t>The token row is removed and the call now returns 401. Other users' tokens are never listed or deletable.</t>
  </si>
  <si>
    <t>/transaction/report (Ticket / Assignee / Category) with date-range and other filters, on-screen charts (ApexCharts), and per-report Excel export. SLA time = first-assigned -&gt; resolved, in days.</t>
  </si>
  <si>
    <t>Filtering</t>
  </si>
  <si>
    <t xml:space="preserve">1. Set a date range and any report-specific filters
2. Apply</t>
  </si>
  <si>
    <t>Tables and charts refresh to the filtered data; the filter state is reflected in the URL.</t>
  </si>
  <si>
    <t>SLA calculation</t>
  </si>
  <si>
    <t>1. Inspect a resolved ticket's SLA time in the Ticket report</t>
  </si>
  <si>
    <t>Equals (resolvedAt - firstAssignedAt) in days, one decimal, with a trailing "d"; unresolved shows an em dash.</t>
  </si>
  <si>
    <t>Status buckets</t>
  </si>
  <si>
    <t>1. Check the Assignee/Category report bucket breakdown</t>
  </si>
  <si>
    <t>Active = NEW/ASSIGNED/REOPENED, Processing = WAITING, Done = RESOLVED/CLOSED.</t>
  </si>
  <si>
    <t>1. Click Export on each report with filters applied</t>
  </si>
  <si>
    <t>The .xlsx matches the on-screen filtered data.</t>
  </si>
  <si>
    <t>Access</t>
  </si>
  <si>
    <t>1. Request a report route as a non-admin</t>
  </si>
  <si>
    <t>Not permitted; redirected to the role home.</t>
  </si>
  <si>
    <t>/api/mcp - Model Context Protocol endpoint for non-browser clients. Authenticates with a personal access token as Authorization: Bearer &lt;token&gt;; all tool calls run as that user with the same authorization rules as the web app.</t>
  </si>
  <si>
    <t>Auth</t>
  </si>
  <si>
    <t xml:space="preserve">1. Call with no Authorization header
2. Call with Authorization: Bearer bogus</t>
  </si>
  <si>
    <t>Both return 401. No tool runs.</t>
  </si>
  <si>
    <t>1. Call with a valid token for an ACTIVE user</t>
  </si>
  <si>
    <t>Authenticated as that user; lastUsedAt updated; tools become available.</t>
  </si>
  <si>
    <t>1. Call with a valid token whose user is INACTIVE/SUSPENDED</t>
  </si>
  <si>
    <t>Rejected (401) - status is re-checked, not just token validity.</t>
  </si>
  <si>
    <t>Authorization parity</t>
  </si>
  <si>
    <t>1. As a USER token, use a tool to read a ticket owned by someone else</t>
  </si>
  <si>
    <t>Same visibility rules as the web app - access denied / not found.</t>
  </si>
  <si>
    <t>/chat and /api/chat - streaming assistant that can look up Lesson Learned entries. Gated by CHAT_ENABLED in app/lib/feature-flags.ts (currently false).</t>
  </si>
  <si>
    <t>Flag off</t>
  </si>
  <si>
    <t>1. With CHAT_ENABLED = false, open /chat and hit /api/chat</t>
  </si>
  <si>
    <t>The Chat nav item is hidden and the route is unavailable.</t>
  </si>
  <si>
    <t>Flag on - streaming</t>
  </si>
  <si>
    <t xml:space="preserve">1. Enable the flag
2. Ask a question in /chat</t>
  </si>
  <si>
    <t>The reply streams token-by-token; no full-page reload.</t>
  </si>
  <si>
    <t>Flag on - lesson lookup</t>
  </si>
  <si>
    <t>1. Ask about a known problem that has a Lesson Learned entry</t>
  </si>
  <si>
    <t>The answer references the entry and links to it; inactive entries are not used.</t>
  </si>
  <si>
    <t>Provider failure</t>
  </si>
  <si>
    <t>1. Simulate the upstream model returning no content</t>
  </si>
  <si>
    <t>A graceful "unreachable" style message is shown rather than a crash.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</si>
</sst>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0563C1"/>
    </font>
  </fonts>
  <fills count="5">
    <fill>
      <patternFill patternType="none"/>
    </fill>
    <fill>
      <patternFill patternType="gray125"/>
    </fill>
    <fill>
      <patternFill patternType="solid">
        <fgColor rgb="FF00D6D6"/>
      </patternFill>
    </fill>
    <fill>
      <patternFill patternType="solid">
        <fgColor rgb="FFD9D9D9"/>
      </patternFill>
    </fill>
    <fill>
      <patternFill patternType="solid">
        <fgColor rgb="FF9BF0F0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42">
    <dxf>
      <font>
        <b/>
        <color rgb="FFFFFFFF"/>
      </font>
      <fill>
        <patternFill patternType="solid">
          <fgColor rgb="FF3E7D34"/>
        </patternFill>
      </fill>
    </dxf>
    <dxf>
      <font>
        <b/>
        <color rgb="FFFFFFFF"/>
      </font>
      <fill>
        <patternFill patternType="solid">
          <fgColor rgb="FFB0413E"/>
        </patternFill>
      </fill>
    </dxf>
    <dxf>
      <font>
        <b/>
        <color rgb="FFFFFFFF"/>
      </font>
      <fill>
        <patternFill patternType="solid">
          <fgColor rgb="FF3E7D34"/>
        </patternFill>
      </fill>
    </dxf>
    <dxf>
      <font>
        <b/>
        <color rgb="FFFFFFFF"/>
      </font>
      <fill>
        <patternFill patternType="solid">
          <fgColor rgb="FFB0413E"/>
        </patternFill>
      </fill>
    </dxf>
    <dxf>
      <font>
        <b/>
        <color rgb="FFFFFFFF"/>
      </font>
      <fill>
        <patternFill patternType="solid">
          <fgColor rgb="FF3E7D34"/>
        </patternFill>
      </fill>
    </dxf>
    <dxf>
      <font>
        <b/>
        <color rgb="FFFFFFFF"/>
      </font>
      <fill>
        <patternFill patternType="solid">
          <fgColor rgb="FFB0413E"/>
        </patternFill>
      </fill>
    </dxf>
    <dxf>
      <font>
        <b/>
        <color rgb="FFFFFFFF"/>
      </font>
      <fill>
        <patternFill patternType="solid">
          <fgColor rgb="FF3E7D34"/>
        </patternFill>
      </fill>
    </dxf>
    <dxf>
      <font>
        <b/>
        <color rgb="FFFFFFFF"/>
      </font>
      <fill>
        <patternFill patternType="solid">
          <fgColor rgb="FFB0413E"/>
        </patternFill>
      </fill>
    </dxf>
    <dxf>
      <font>
        <b/>
        <color rgb="FFFFFFFF"/>
      </font>
      <fill>
        <patternFill patternType="solid">
          <fgColor rgb="FF3E7D34"/>
        </patternFill>
      </fill>
    </dxf>
    <dxf>
      <font>
        <b/>
        <color rgb="FFFFFFFF"/>
      </font>
      <fill>
        <patternFill patternType="solid">
          <fgColor rgb="FFB0413E"/>
        </patternFill>
      </fill>
    </dxf>
    <dxf>
      <font>
        <b/>
        <color rgb="FFFFFFFF"/>
      </font>
      <fill>
        <patternFill patternType="solid">
          <fgColor rgb="FF3E7D34"/>
        </patternFill>
      </fill>
    </dxf>
    <dxf>
      <font>
        <b/>
        <color rgb="FFFFFFFF"/>
      </font>
      <fill>
        <patternFill patternType="solid">
          <fgColor rgb="FFB0413E"/>
        </patternFill>
      </fill>
    </dxf>
    <dxf>
      <font>
        <b/>
        <color rgb="FFFFFFFF"/>
      </font>
      <fill>
        <patternFill patternType="solid">
          <fgColor rgb="FF3E7D34"/>
        </patternFill>
      </fill>
    </dxf>
    <dxf>
      <font>
        <b/>
        <color rgb="FFFFFFFF"/>
      </font>
      <fill>
        <patternFill patternType="solid">
          <fgColor rgb="FFB0413E"/>
        </patternFill>
      </fill>
    </dxf>
    <dxf>
      <font>
        <b/>
        <color rgb="FFFFFFFF"/>
      </font>
      <fill>
        <patternFill patternType="solid">
          <fgColor rgb="FF3E7D34"/>
        </patternFill>
      </fill>
    </dxf>
    <dxf>
      <font>
        <b/>
        <color rgb="FFFFFFFF"/>
      </font>
      <fill>
        <patternFill patternType="solid">
          <fgColor rgb="FFB0413E"/>
        </patternFill>
      </fill>
    </dxf>
    <dxf>
      <font>
        <b/>
        <color rgb="FFFFFFFF"/>
      </font>
      <fill>
        <patternFill patternType="solid">
          <fgColor rgb="FF3E7D34"/>
        </patternFill>
      </fill>
    </dxf>
    <dxf>
      <font>
        <b/>
        <color rgb="FFFFFFFF"/>
      </font>
      <fill>
        <patternFill patternType="solid">
          <fgColor rgb="FFB0413E"/>
        </patternFill>
      </fill>
    </dxf>
    <dxf>
      <font>
        <b/>
        <color rgb="FFFFFFFF"/>
      </font>
      <fill>
        <patternFill patternType="solid">
          <fgColor rgb="FF3E7D34"/>
        </patternFill>
      </fill>
    </dxf>
    <dxf>
      <font>
        <b/>
        <color rgb="FFFFFFFF"/>
      </font>
      <fill>
        <patternFill patternType="solid">
          <fgColor rgb="FFB0413E"/>
        </patternFill>
      </fill>
    </dxf>
    <dxf>
      <font>
        <b/>
        <color rgb="FFFFFFFF"/>
      </font>
      <fill>
        <patternFill patternType="solid">
          <fgColor rgb="FF3E7D34"/>
        </patternFill>
      </fill>
    </dxf>
    <dxf>
      <font>
        <b/>
        <color rgb="FFFFFFFF"/>
      </font>
      <fill>
        <patternFill patternType="solid">
          <fgColor rgb="FFB0413E"/>
        </patternFill>
      </fill>
    </dxf>
    <dxf>
      <font>
        <b/>
        <color rgb="FFFFFFFF"/>
      </font>
      <fill>
        <patternFill patternType="solid">
          <fgColor rgb="FF3E7D34"/>
        </patternFill>
      </fill>
    </dxf>
    <dxf>
      <font>
        <b/>
        <color rgb="FFFFFFFF"/>
      </font>
      <fill>
        <patternFill patternType="solid">
          <fgColor rgb="FFB0413E"/>
        </patternFill>
      </fill>
    </dxf>
    <dxf>
      <font>
        <b/>
        <color rgb="FFFFFFFF"/>
      </font>
      <fill>
        <patternFill patternType="solid">
          <fgColor rgb="FF3E7D34"/>
        </patternFill>
      </fill>
    </dxf>
    <dxf>
      <font>
        <b/>
        <color rgb="FFFFFFFF"/>
      </font>
      <fill>
        <patternFill patternType="solid">
          <fgColor rgb="FFB0413E"/>
        </patternFill>
      </fill>
    </dxf>
    <dxf>
      <font>
        <b/>
        <color rgb="FFFFFFFF"/>
      </font>
      <fill>
        <patternFill patternType="solid">
          <fgColor rgb="FF3E7D34"/>
        </patternFill>
      </fill>
    </dxf>
    <dxf>
      <font>
        <b/>
        <color rgb="FFFFFFFF"/>
      </font>
      <fill>
        <patternFill patternType="solid">
          <fgColor rgb="FFB0413E"/>
        </patternFill>
      </fill>
    </dxf>
    <dxf>
      <font>
        <b/>
        <color rgb="FFFFFFFF"/>
      </font>
      <fill>
        <patternFill patternType="solid">
          <fgColor rgb="FF3E7D34"/>
        </patternFill>
      </fill>
    </dxf>
    <dxf>
      <font>
        <b/>
        <color rgb="FFFFFFFF"/>
      </font>
      <fill>
        <patternFill patternType="solid">
          <fgColor rgb="FFB0413E"/>
        </patternFill>
      </fill>
    </dxf>
    <dxf>
      <font>
        <b/>
        <color rgb="FFFFFFFF"/>
      </font>
      <fill>
        <patternFill patternType="solid">
          <fgColor rgb="FF3E7D34"/>
        </patternFill>
      </fill>
    </dxf>
    <dxf>
      <font>
        <b/>
        <color rgb="FFFFFFFF"/>
      </font>
      <fill>
        <patternFill patternType="solid">
          <fgColor rgb="FFB0413E"/>
        </patternFill>
      </fill>
    </dxf>
    <dxf>
      <font>
        <b/>
        <color rgb="FFFFFFFF"/>
      </font>
      <fill>
        <patternFill patternType="solid">
          <fgColor rgb="FF3E7D34"/>
        </patternFill>
      </fill>
    </dxf>
    <dxf>
      <font>
        <b/>
        <color rgb="FFFFFFFF"/>
      </font>
      <fill>
        <patternFill patternType="solid">
          <fgColor rgb="FFB0413E"/>
        </patternFill>
      </fill>
    </dxf>
    <dxf>
      <font>
        <b/>
        <color rgb="FFFFFFFF"/>
      </font>
      <fill>
        <patternFill patternType="solid">
          <fgColor rgb="FF3E7D34"/>
        </patternFill>
      </fill>
    </dxf>
    <dxf>
      <font>
        <b/>
        <color rgb="FFFFFFFF"/>
      </font>
      <fill>
        <patternFill patternType="solid">
          <fgColor rgb="FFB0413E"/>
        </patternFill>
      </fill>
    </dxf>
    <dxf>
      <font>
        <b/>
        <color rgb="FFFFFFFF"/>
      </font>
      <fill>
        <patternFill patternType="solid">
          <fgColor rgb="FF3E7D34"/>
        </patternFill>
      </fill>
    </dxf>
    <dxf>
      <font>
        <b/>
        <color rgb="FFFFFFFF"/>
      </font>
      <fill>
        <patternFill patternType="solid">
          <fgColor rgb="FFB0413E"/>
        </patternFill>
      </fill>
    </dxf>
    <dxf>
      <font>
        <b/>
        <color rgb="FFFFFFFF"/>
      </font>
      <fill>
        <patternFill patternType="solid">
          <fgColor rgb="FF3E7D34"/>
        </patternFill>
      </fill>
    </dxf>
    <dxf>
      <font>
        <b/>
        <color rgb="FFFFFFFF"/>
      </font>
      <fill>
        <patternFill patternType="solid">
          <fgColor rgb="FFB0413E"/>
        </patternFill>
      </fill>
    </dxf>
    <dxf>
      <font>
        <b/>
        <color rgb="FFFFFFFF"/>
      </font>
      <fill>
        <patternFill patternType="solid">
          <fgColor rgb="FF3E7D34"/>
        </patternFill>
      </fill>
    </dxf>
    <dxf>
      <font>
        <b/>
        <color rgb="FFFFFFFF"/>
      </font>
      <fill>
        <patternFill patternType="solid">
          <fgColor rgb="FFB0413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Authentication &amp; Access&apos;!A1" TargetMode="External"/><Relationship Id="rId2" Type="http://schemas.openxmlformats.org/officeDocument/2006/relationships/hyperlink" Target="#&apos;Dashboard&apos;!A1" TargetMode="External"/><Relationship Id="rId3" Type="http://schemas.openxmlformats.org/officeDocument/2006/relationships/hyperlink" Target="#&apos;Tickets - Create&apos;!A1" TargetMode="External"/><Relationship Id="rId4" Type="http://schemas.openxmlformats.org/officeDocument/2006/relationships/hyperlink" Target="#&apos;Tickets - List (My Tickets)&apos;!A1" TargetMode="External"/><Relationship Id="rId5" Type="http://schemas.openxmlformats.org/officeDocument/2006/relationships/hyperlink" Target="#&apos;Tickets - Detail&apos;!A1" TargetMode="External"/><Relationship Id="rId6" Type="http://schemas.openxmlformats.org/officeDocument/2006/relationships/hyperlink" Target="#&apos;Tickets - Assigned Queue&apos;!A1" TargetMode="External"/><Relationship Id="rId7" Type="http://schemas.openxmlformats.org/officeDocument/2006/relationships/hyperlink" Target="#&apos;Tickets - Approval Queue&apos;!A1" TargetMode="External"/><Relationship Id="rId8" Type="http://schemas.openxmlformats.org/officeDocument/2006/relationships/hyperlink" Target="#&apos;Ticket Management (Admin)&apos;!A1" TargetMode="External"/><Relationship Id="rId9" Type="http://schemas.openxmlformats.org/officeDocument/2006/relationships/hyperlink" Target="#&apos;Comments &amp; Attachments&apos;!A1" TargetMode="External"/><Relationship Id="rId10" Type="http://schemas.openxmlformats.org/officeDocument/2006/relationships/hyperlink" Target="#&apos;Notifications&apos;!A1" TargetMode="External"/><Relationship Id="rId11" Type="http://schemas.openxmlformats.org/officeDocument/2006/relationships/hyperlink" Target="#&apos;Global Search&apos;!A1" TargetMode="External"/><Relationship Id="rId12" Type="http://schemas.openxmlformats.org/officeDocument/2006/relationships/hyperlink" Target="#&apos;Master - Users&apos;!A1" TargetMode="External"/><Relationship Id="rId13" Type="http://schemas.openxmlformats.org/officeDocument/2006/relationships/hyperlink" Target="#&apos;Master - User Groups&apos;!A1" TargetMode="External"/><Relationship Id="rId14" Type="http://schemas.openxmlformats.org/officeDocument/2006/relationships/hyperlink" Target="#&apos;Master - Categories&apos;!A1" TargetMode="External"/><Relationship Id="rId15" Type="http://schemas.openxmlformats.org/officeDocument/2006/relationships/hyperlink" Target="#&apos;Master - Companies&apos;!A1" TargetMode="External"/><Relationship Id="rId16" Type="http://schemas.openxmlformats.org/officeDocument/2006/relationships/hyperlink" Target="#&apos;Master - Departments&apos;!A1" TargetMode="External"/><Relationship Id="rId17" Type="http://schemas.openxmlformats.org/officeDocument/2006/relationships/hyperlink" Target="#&apos;Master - Lesson Learned&apos;!A1" TargetMode="External"/><Relationship Id="rId18" Type="http://schemas.openxmlformats.org/officeDocument/2006/relationships/hyperlink" Target="#&apos;Profile &amp; API Tokens&apos;!A1" TargetMode="External"/><Relationship Id="rId19" Type="http://schemas.openxmlformats.org/officeDocument/2006/relationships/hyperlink" Target="#&apos;Reports&apos;!A1" TargetMode="External"/><Relationship Id="rId20" Type="http://schemas.openxmlformats.org/officeDocument/2006/relationships/hyperlink" Target="#&apos;MCP API&apos;!A1" TargetMode="External"/><Relationship Id="rId21" Type="http://schemas.openxmlformats.org/officeDocument/2006/relationships/hyperlink" Target="#&apos;AI Chat (feature-flagged)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42" customWidth="1"/>
    <col min="3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/>
      <c r="E1" s="1"/>
    </row>
    <row r="2" spans="1:5" x14ac:dyDescent="0.25">
      <c r="A2" s="1"/>
      <c r="B2" s="1"/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 t="s">
        <v>7</v>
      </c>
      <c r="C3" s="4">
        <v>9</v>
      </c>
      <c r="D3" s="4">
        <f>COUNTIF('Authentication &amp; Access'!F:F,"PASS")</f>
      </c>
      <c r="E3" s="4">
        <f>COUNTIF('Authentication &amp; Access'!F:F,"FAIL")</f>
      </c>
    </row>
    <row r="4" spans="1:5" x14ac:dyDescent="0.25">
      <c r="A4" s="2" t="s">
        <v>8</v>
      </c>
      <c r="B4" s="3" t="s">
        <v>9</v>
      </c>
      <c r="C4" s="4">
        <v>4</v>
      </c>
      <c r="D4" s="4">
        <f>COUNTIF('Dashboard'!F:F,"PASS")</f>
      </c>
      <c r="E4" s="4">
        <f>COUNTIF('Dashboard'!F:F,"FAIL")</f>
      </c>
    </row>
    <row r="5" spans="1:5" x14ac:dyDescent="0.25">
      <c r="A5" s="2" t="s">
        <v>10</v>
      </c>
      <c r="B5" s="3" t="s">
        <v>11</v>
      </c>
      <c r="C5" s="4">
        <v>7</v>
      </c>
      <c r="D5" s="4">
        <f>COUNTIF('Tickets - Create'!F:F,"PASS")</f>
      </c>
      <c r="E5" s="4">
        <f>COUNTIF('Tickets - Create'!F:F,"FAIL")</f>
      </c>
    </row>
    <row r="6" spans="1:5" x14ac:dyDescent="0.25">
      <c r="A6" s="2" t="s">
        <v>12</v>
      </c>
      <c r="B6" s="3" t="s">
        <v>13</v>
      </c>
      <c r="C6" s="4">
        <v>5</v>
      </c>
      <c r="D6" s="4">
        <f>COUNTIF('Tickets - List (My Tickets)'!F:F,"PASS")</f>
      </c>
      <c r="E6" s="4">
        <f>COUNTIF('Tickets - List (My Tickets)'!F:F,"FAIL")</f>
      </c>
    </row>
    <row r="7" spans="1:5" x14ac:dyDescent="0.25">
      <c r="A7" s="2" t="s">
        <v>14</v>
      </c>
      <c r="B7" s="3" t="s">
        <v>15</v>
      </c>
      <c r="C7" s="4">
        <v>5</v>
      </c>
      <c r="D7" s="4">
        <f>COUNTIF('Tickets - Detail'!F:F,"PASS")</f>
      </c>
      <c r="E7" s="4">
        <f>COUNTIF('Tickets - Detail'!F:F,"FAIL")</f>
      </c>
    </row>
    <row r="8" spans="1:5" x14ac:dyDescent="0.25">
      <c r="A8" s="2" t="s">
        <v>16</v>
      </c>
      <c r="B8" s="3" t="s">
        <v>17</v>
      </c>
      <c r="C8" s="4">
        <v>4</v>
      </c>
      <c r="D8" s="4">
        <f>COUNTIF('Tickets - Assigned Queue'!F:F,"PASS")</f>
      </c>
      <c r="E8" s="4">
        <f>COUNTIF('Tickets - Assigned Queue'!F:F,"FAIL")</f>
      </c>
    </row>
    <row r="9" spans="1:5" x14ac:dyDescent="0.25">
      <c r="A9" s="2" t="s">
        <v>18</v>
      </c>
      <c r="B9" s="3" t="s">
        <v>19</v>
      </c>
      <c r="C9" s="4">
        <v>5</v>
      </c>
      <c r="D9" s="4">
        <f>COUNTIF('Tickets - Approval Queue'!F:F,"PASS")</f>
      </c>
      <c r="E9" s="4">
        <f>COUNTIF('Tickets - Approval Queue'!F:F,"FAIL")</f>
      </c>
    </row>
    <row r="10" spans="1:5" x14ac:dyDescent="0.25">
      <c r="A10" s="2" t="s">
        <v>20</v>
      </c>
      <c r="B10" s="3" t="s">
        <v>21</v>
      </c>
      <c r="C10" s="4">
        <v>5</v>
      </c>
      <c r="D10" s="4">
        <f>COUNTIF('Ticket Management (Admin)'!F:F,"PASS")</f>
      </c>
      <c r="E10" s="4">
        <f>COUNTIF('Ticket Management (Admin)'!F:F,"FAIL")</f>
      </c>
    </row>
    <row r="11" spans="1:5" x14ac:dyDescent="0.25">
      <c r="A11" s="2" t="s">
        <v>22</v>
      </c>
      <c r="B11" s="3" t="s">
        <v>23</v>
      </c>
      <c r="C11" s="4">
        <v>5</v>
      </c>
      <c r="D11" s="4">
        <f>COUNTIF('Comments &amp; Attachments'!F:F,"PASS")</f>
      </c>
      <c r="E11" s="4">
        <f>COUNTIF('Comments &amp; Attachments'!F:F,"FAIL")</f>
      </c>
    </row>
    <row r="12" spans="1:5" x14ac:dyDescent="0.25">
      <c r="A12" s="2" t="s">
        <v>24</v>
      </c>
      <c r="B12" s="3" t="s">
        <v>25</v>
      </c>
      <c r="C12" s="4">
        <v>4</v>
      </c>
      <c r="D12" s="4">
        <f>COUNTIF('Notifications'!F:F,"PASS")</f>
      </c>
      <c r="E12" s="4">
        <f>COUNTIF('Notifications'!F:F,"FAIL")</f>
      </c>
    </row>
    <row r="13" spans="1:5" x14ac:dyDescent="0.25">
      <c r="A13" s="2" t="s">
        <v>26</v>
      </c>
      <c r="B13" s="3" t="s">
        <v>27</v>
      </c>
      <c r="C13" s="4">
        <v>4</v>
      </c>
      <c r="D13" s="4">
        <f>COUNTIF('Global Search'!F:F,"PASS")</f>
      </c>
      <c r="E13" s="4">
        <f>COUNTIF('Global Search'!F:F,"FAIL")</f>
      </c>
    </row>
    <row r="14" spans="1:5" x14ac:dyDescent="0.25">
      <c r="A14" s="2" t="s">
        <v>28</v>
      </c>
      <c r="B14" s="3" t="s">
        <v>29</v>
      </c>
      <c r="C14" s="4">
        <v>6</v>
      </c>
      <c r="D14" s="4">
        <f>COUNTIF('Master - Users'!F:F,"PASS")</f>
      </c>
      <c r="E14" s="4">
        <f>COUNTIF('Master - Users'!F:F,"FAIL")</f>
      </c>
    </row>
    <row r="15" spans="1:5" x14ac:dyDescent="0.25">
      <c r="A15" s="2" t="s">
        <v>30</v>
      </c>
      <c r="B15" s="3" t="s">
        <v>31</v>
      </c>
      <c r="C15" s="4">
        <v>6</v>
      </c>
      <c r="D15" s="4">
        <f>COUNTIF('Master - User Groups'!F:F,"PASS")</f>
      </c>
      <c r="E15" s="4">
        <f>COUNTIF('Master - User Groups'!F:F,"FAIL")</f>
      </c>
    </row>
    <row r="16" spans="1:5" x14ac:dyDescent="0.25">
      <c r="A16" s="2" t="s">
        <v>32</v>
      </c>
      <c r="B16" s="3" t="s">
        <v>33</v>
      </c>
      <c r="C16" s="4">
        <v>4</v>
      </c>
      <c r="D16" s="4">
        <f>COUNTIF('Master - Categories'!F:F,"PASS")</f>
      </c>
      <c r="E16" s="4">
        <f>COUNTIF('Master - Categories'!F:F,"FAIL")</f>
      </c>
    </row>
    <row r="17" spans="1:5" x14ac:dyDescent="0.25">
      <c r="A17" s="2" t="s">
        <v>34</v>
      </c>
      <c r="B17" s="3" t="s">
        <v>35</v>
      </c>
      <c r="C17" s="4">
        <v>3</v>
      </c>
      <c r="D17" s="4">
        <f>COUNTIF('Master - Companies'!F:F,"PASS")</f>
      </c>
      <c r="E17" s="4">
        <f>COUNTIF('Master - Companies'!F:F,"FAIL")</f>
      </c>
    </row>
    <row r="18" spans="1:5" x14ac:dyDescent="0.25">
      <c r="A18" s="2" t="s">
        <v>36</v>
      </c>
      <c r="B18" s="3" t="s">
        <v>37</v>
      </c>
      <c r="C18" s="4">
        <v>3</v>
      </c>
      <c r="D18" s="4">
        <f>COUNTIF('Master - Departments'!F:F,"PASS")</f>
      </c>
      <c r="E18" s="4">
        <f>COUNTIF('Master - Departments'!F:F,"FAIL")</f>
      </c>
    </row>
    <row r="19" spans="1:5" x14ac:dyDescent="0.25">
      <c r="A19" s="2" t="s">
        <v>38</v>
      </c>
      <c r="B19" s="3" t="s">
        <v>39</v>
      </c>
      <c r="C19" s="4">
        <v>4</v>
      </c>
      <c r="D19" s="4">
        <f>COUNTIF('Master - Lesson Learned'!F:F,"PASS")</f>
      </c>
      <c r="E19" s="4">
        <f>COUNTIF('Master - Lesson Learned'!F:F,"FAIL")</f>
      </c>
    </row>
    <row r="20" spans="1:5" x14ac:dyDescent="0.25">
      <c r="A20" s="2" t="s">
        <v>40</v>
      </c>
      <c r="B20" s="3" t="s">
        <v>41</v>
      </c>
      <c r="C20" s="4">
        <v>5</v>
      </c>
      <c r="D20" s="4">
        <f>COUNTIF('Profile &amp; API Tokens'!F:F,"PASS")</f>
      </c>
      <c r="E20" s="4">
        <f>COUNTIF('Profile &amp; API Tokens'!F:F,"FAIL")</f>
      </c>
    </row>
    <row r="21" spans="1:5" x14ac:dyDescent="0.25">
      <c r="A21" s="2" t="s">
        <v>42</v>
      </c>
      <c r="B21" s="3" t="s">
        <v>43</v>
      </c>
      <c r="C21" s="4">
        <v>5</v>
      </c>
      <c r="D21" s="4">
        <f>COUNTIF('Reports'!F:F,"PASS")</f>
      </c>
      <c r="E21" s="4">
        <f>COUNTIF('Reports'!F:F,"FAIL")</f>
      </c>
    </row>
    <row r="22" spans="1:5" x14ac:dyDescent="0.25">
      <c r="A22" s="2" t="s">
        <v>44</v>
      </c>
      <c r="B22" s="3" t="s">
        <v>45</v>
      </c>
      <c r="C22" s="4">
        <v>4</v>
      </c>
      <c r="D22" s="4">
        <f>COUNTIF('MCP API'!F:F,"PASS")</f>
      </c>
      <c r="E22" s="4">
        <f>COUNTIF('MCP API'!F:F,"FAIL")</f>
      </c>
    </row>
    <row r="23" spans="1:5" x14ac:dyDescent="0.25">
      <c r="A23" s="2" t="s">
        <v>46</v>
      </c>
      <c r="B23" s="3" t="s">
        <v>47</v>
      </c>
      <c r="C23" s="4">
        <v>4</v>
      </c>
      <c r="D23" s="4">
        <f>COUNTIF('AI Chat (feature-flagged)'!F:F,"PASS")</f>
      </c>
      <c r="E23" s="4">
        <f>COUNTIF('AI Chat (feature-flagged)'!F:F,"FAIL")</f>
      </c>
    </row>
    <row r="24" spans="1:5" x14ac:dyDescent="0.25">
      <c r="A24" s="5"/>
      <c r="B24" s="6" t="s">
        <v>48</v>
      </c>
      <c r="C24" s="7">
        <f>SUM(C3:C23)</f>
      </c>
      <c r="D24" s="7">
        <f>SUM(D3:D23)</f>
      </c>
      <c r="E24" s="7">
        <f>SUM(E3:E23)</f>
      </c>
    </row>
  </sheetData>
  <mergeCells count="3">
    <mergeCell ref="C1:E1"/>
    <mergeCell ref="A1:A2"/>
    <mergeCell ref="B1:B2"/>
  </mergeCells>
  <hyperlinks>
    <hyperlink ref="B3" r:id="rId1" location="#'Authentication &amp; Access'!A1"/>
    <hyperlink ref="B4" r:id="rId2" location="#'Dashboard'!A1"/>
    <hyperlink ref="B5" r:id="rId3" location="#'Tickets - Create'!A1"/>
    <hyperlink ref="B6" r:id="rId4" location="#'Tickets - List (My Tickets)'!A1"/>
    <hyperlink ref="B7" r:id="rId5" location="#'Tickets - Detail'!A1"/>
    <hyperlink ref="B8" r:id="rId6" location="#'Tickets - Assigned Queue'!A1"/>
    <hyperlink ref="B9" r:id="rId7" location="#'Tickets - Approval Queue'!A1"/>
    <hyperlink ref="B10" r:id="rId8" location="#'Ticket Management (Admin)'!A1"/>
    <hyperlink ref="B11" r:id="rId9" location="#'Comments &amp; Attachments'!A1"/>
    <hyperlink ref="B12" r:id="rId10" location="#'Notifications'!A1"/>
    <hyperlink ref="B13" r:id="rId11" location="#'Global Search'!A1"/>
    <hyperlink ref="B14" r:id="rId12" location="#'Master - Users'!A1"/>
    <hyperlink ref="B15" r:id="rId13" location="#'Master - User Groups'!A1"/>
    <hyperlink ref="B16" r:id="rId14" location="#'Master - Categories'!A1"/>
    <hyperlink ref="B17" r:id="rId15" location="#'Master - Companies'!A1"/>
    <hyperlink ref="B18" r:id="rId16" location="#'Master - Departments'!A1"/>
    <hyperlink ref="B19" r:id="rId17" location="#'Master - Lesson Learned'!A1"/>
    <hyperlink ref="B20" r:id="rId18" location="#'Profile &amp; API Tokens'!A1"/>
    <hyperlink ref="B21" r:id="rId19" location="#'Reports'!A1"/>
    <hyperlink ref="B22" r:id="rId20" location="#'MCP API'!A1"/>
    <hyperlink ref="B23" r:id="rId21" location="#'AI Chat (feature-flagged)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6" customWidth="1"/>
    <col min="3" max="4" width="52" customWidth="1"/>
    <col min="5" max="5" width="30" customWidth="1"/>
    <col min="6" max="6" width="12" customWidth="1"/>
  </cols>
  <sheetData>
    <row r="1" spans="1:6" x14ac:dyDescent="0.25">
      <c r="A1" s="8" t="s">
        <v>49</v>
      </c>
      <c r="B1" s="9" t="s">
        <v>7</v>
      </c>
      <c r="C1" s="9"/>
      <c r="D1" s="9"/>
      <c r="E1" s="9"/>
      <c r="F1" s="9"/>
    </row>
    <row r="2" ht="90" customHeight="1" spans="1:6" x14ac:dyDescent="0.25">
      <c r="A2" s="8" t="s">
        <v>50</v>
      </c>
      <c r="B2" s="9" t="s">
        <v>51</v>
      </c>
      <c r="C2" s="9"/>
      <c r="D2" s="9"/>
      <c r="E2" s="9"/>
      <c r="F2" s="9"/>
    </row>
    <row r="3" spans="1:6" x14ac:dyDescent="0.25">
      <c r="A3" s="8" t="s">
        <v>52</v>
      </c>
      <c r="B3" s="9" t="s">
        <v>53</v>
      </c>
      <c r="C3" s="9"/>
      <c r="D3" s="9"/>
      <c r="E3" s="9"/>
      <c r="F3" s="9"/>
    </row>
    <row r="4" spans="1:6" x14ac:dyDescent="0.25">
      <c r="A4" s="8" t="s">
        <v>54</v>
      </c>
      <c r="B4" s="9" t="s">
        <v>53</v>
      </c>
      <c r="C4" s="9"/>
      <c r="D4" s="9"/>
      <c r="E4" s="9"/>
      <c r="F4" s="9"/>
    </row>
    <row r="6" spans="1:6" x14ac:dyDescent="0.25">
      <c r="A6" s="1" t="s">
        <v>55</v>
      </c>
      <c r="B6" s="1" t="s">
        <v>56</v>
      </c>
      <c r="C6" s="1" t="s">
        <v>57</v>
      </c>
      <c r="D6" s="1" t="s">
        <v>58</v>
      </c>
      <c r="E6" s="1" t="s">
        <v>59</v>
      </c>
      <c r="F6" s="1" t="s">
        <v>60</v>
      </c>
    </row>
    <row r="7" spans="1:6" x14ac:dyDescent="0.25">
      <c r="A7" s="10">
        <v>1</v>
      </c>
      <c r="B7" s="9" t="s">
        <v>61</v>
      </c>
      <c r="C7" s="9" t="s">
        <v>62</v>
      </c>
      <c r="D7" s="9" t="s">
        <v>63</v>
      </c>
      <c r="E7" s="9" t="s">
        <v>53</v>
      </c>
      <c r="F7" s="11" t="s">
        <v>53</v>
      </c>
    </row>
    <row r="8" spans="1:6" x14ac:dyDescent="0.25">
      <c r="A8" s="10">
        <v>2</v>
      </c>
      <c r="B8" s="9"/>
      <c r="C8" s="9" t="s">
        <v>64</v>
      </c>
      <c r="D8" s="9" t="s">
        <v>65</v>
      </c>
      <c r="E8" s="9" t="s">
        <v>53</v>
      </c>
      <c r="F8" s="11" t="s">
        <v>53</v>
      </c>
    </row>
    <row r="9" spans="1:6" x14ac:dyDescent="0.25">
      <c r="A9" s="10">
        <v>3</v>
      </c>
      <c r="B9" s="9"/>
      <c r="C9" s="9" t="s">
        <v>66</v>
      </c>
      <c r="D9" s="9" t="s">
        <v>67</v>
      </c>
      <c r="E9" s="9" t="s">
        <v>53</v>
      </c>
      <c r="F9" s="11" t="s">
        <v>53</v>
      </c>
    </row>
    <row r="10" spans="1:6" x14ac:dyDescent="0.25">
      <c r="A10" s="10">
        <v>4</v>
      </c>
      <c r="B10" s="9" t="s">
        <v>68</v>
      </c>
      <c r="C10" s="9" t="s">
        <v>69</v>
      </c>
      <c r="D10" s="9" t="s">
        <v>70</v>
      </c>
      <c r="E10" s="9" t="s">
        <v>53</v>
      </c>
      <c r="F10" s="11" t="s">
        <v>53</v>
      </c>
    </row>
    <row r="11" spans="1:6" x14ac:dyDescent="0.25">
      <c r="A11" s="10">
        <v>5</v>
      </c>
      <c r="B11" s="9" t="s">
        <v>71</v>
      </c>
      <c r="C11" s="9" t="s">
        <v>72</v>
      </c>
      <c r="D11" s="9" t="s">
        <v>73</v>
      </c>
      <c r="E11" s="9" t="s">
        <v>53</v>
      </c>
      <c r="F11" s="11" t="s">
        <v>53</v>
      </c>
    </row>
    <row r="12" spans="1:6" x14ac:dyDescent="0.25">
      <c r="A12" s="10">
        <v>6</v>
      </c>
      <c r="B12" s="9"/>
      <c r="C12" s="9" t="s">
        <v>74</v>
      </c>
      <c r="D12" s="9" t="s">
        <v>75</v>
      </c>
      <c r="E12" s="9" t="s">
        <v>53</v>
      </c>
      <c r="F12" s="11" t="s">
        <v>53</v>
      </c>
    </row>
    <row r="13" spans="1:6" x14ac:dyDescent="0.25">
      <c r="A13" s="10">
        <v>7</v>
      </c>
      <c r="B13" s="9" t="s">
        <v>76</v>
      </c>
      <c r="C13" s="9" t="s">
        <v>77</v>
      </c>
      <c r="D13" s="9" t="s">
        <v>78</v>
      </c>
      <c r="E13" s="9" t="s">
        <v>53</v>
      </c>
      <c r="F13" s="11" t="s">
        <v>53</v>
      </c>
    </row>
    <row r="14" spans="1:6" x14ac:dyDescent="0.25">
      <c r="A14" s="10">
        <v>8</v>
      </c>
      <c r="B14" s="9" t="s">
        <v>79</v>
      </c>
      <c r="C14" s="9" t="s">
        <v>80</v>
      </c>
      <c r="D14" s="9" t="s">
        <v>81</v>
      </c>
      <c r="E14" s="9" t="s">
        <v>53</v>
      </c>
      <c r="F14" s="11" t="s">
        <v>53</v>
      </c>
    </row>
    <row r="15" spans="1:6" x14ac:dyDescent="0.25">
      <c r="A15" s="10">
        <v>9</v>
      </c>
      <c r="B15" s="9" t="s">
        <v>82</v>
      </c>
      <c r="C15" s="9" t="s">
        <v>83</v>
      </c>
      <c r="D15" s="9" t="s">
        <v>84</v>
      </c>
      <c r="E15" s="9" t="s">
        <v>53</v>
      </c>
      <c r="F15" s="11" t="s">
        <v>53</v>
      </c>
    </row>
  </sheetData>
  <mergeCells count="6">
    <mergeCell ref="B1:F1"/>
    <mergeCell ref="B2:F2"/>
    <mergeCell ref="B3:F3"/>
    <mergeCell ref="B4:F4"/>
    <mergeCell ref="B7:B9"/>
    <mergeCell ref="B11:B12"/>
  </mergeCells>
  <conditionalFormatting sqref="F7:F15">
    <cfRule type="cellIs" dxfId="0" priority="1" operator="equal">
      <formula>"PASS"</formula>
    </cfRule>
    <cfRule type="cellIs" dxfId="1" priority="2" operator="equal">
      <formula>"FAIL"</formula>
    </cfRule>
  </conditionalFormatting>
  <dataValidations count="2">
    <dataValidation type="list" allowBlank="1" sqref="F10:F15">
      <formula1>"PASS,FAIL,BLOCKED,N/A"</formula1>
    </dataValidation>
    <dataValidation type="list" allowBlank="1" sqref="F7:F15">
      <formula1>"PASS,FAIL,BLOCKED,N/A"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6" customWidth="1"/>
    <col min="3" max="4" width="52" customWidth="1"/>
    <col min="5" max="5" width="30" customWidth="1"/>
    <col min="6" max="6" width="12" customWidth="1"/>
  </cols>
  <sheetData>
    <row r="1" spans="1:6" x14ac:dyDescent="0.25">
      <c r="A1" s="8" t="s">
        <v>49</v>
      </c>
      <c r="B1" s="9" t="s">
        <v>9</v>
      </c>
      <c r="C1" s="9"/>
      <c r="D1" s="9"/>
      <c r="E1" s="9"/>
      <c r="F1" s="9"/>
    </row>
    <row r="2" ht="90" customHeight="1" spans="1:6" x14ac:dyDescent="0.25">
      <c r="A2" s="8" t="s">
        <v>50</v>
      </c>
      <c r="B2" s="9" t="s">
        <v>85</v>
      </c>
      <c r="C2" s="9"/>
      <c r="D2" s="9"/>
      <c r="E2" s="9"/>
      <c r="F2" s="9"/>
    </row>
    <row r="3" spans="1:6" x14ac:dyDescent="0.25">
      <c r="A3" s="8" t="s">
        <v>52</v>
      </c>
      <c r="B3" s="9" t="s">
        <v>53</v>
      </c>
      <c r="C3" s="9"/>
      <c r="D3" s="9"/>
      <c r="E3" s="9"/>
      <c r="F3" s="9"/>
    </row>
    <row r="4" spans="1:6" x14ac:dyDescent="0.25">
      <c r="A4" s="8" t="s">
        <v>54</v>
      </c>
      <c r="B4" s="9" t="s">
        <v>53</v>
      </c>
      <c r="C4" s="9"/>
      <c r="D4" s="9"/>
      <c r="E4" s="9"/>
      <c r="F4" s="9"/>
    </row>
    <row r="6" spans="1:6" x14ac:dyDescent="0.25">
      <c r="A6" s="1" t="s">
        <v>55</v>
      </c>
      <c r="B6" s="1" t="s">
        <v>56</v>
      </c>
      <c r="C6" s="1" t="s">
        <v>57</v>
      </c>
      <c r="D6" s="1" t="s">
        <v>58</v>
      </c>
      <c r="E6" s="1" t="s">
        <v>59</v>
      </c>
      <c r="F6" s="1" t="s">
        <v>60</v>
      </c>
    </row>
    <row r="7" spans="1:6" x14ac:dyDescent="0.25">
      <c r="A7" s="10">
        <v>1</v>
      </c>
      <c r="B7" s="9" t="s">
        <v>86</v>
      </c>
      <c r="C7" s="9" t="s">
        <v>87</v>
      </c>
      <c r="D7" s="9" t="s">
        <v>88</v>
      </c>
      <c r="E7" s="9" t="s">
        <v>53</v>
      </c>
      <c r="F7" s="11" t="s">
        <v>53</v>
      </c>
    </row>
    <row r="8" spans="1:6" x14ac:dyDescent="0.25">
      <c r="A8" s="10">
        <v>2</v>
      </c>
      <c r="B8" s="9"/>
      <c r="C8" s="9" t="s">
        <v>89</v>
      </c>
      <c r="D8" s="9" t="s">
        <v>90</v>
      </c>
      <c r="E8" s="9" t="s">
        <v>53</v>
      </c>
      <c r="F8" s="11" t="s">
        <v>53</v>
      </c>
    </row>
    <row r="9" spans="1:6" x14ac:dyDescent="0.25">
      <c r="A9" s="10">
        <v>3</v>
      </c>
      <c r="B9" s="9" t="s">
        <v>91</v>
      </c>
      <c r="C9" s="9" t="s">
        <v>92</v>
      </c>
      <c r="D9" s="9" t="s">
        <v>93</v>
      </c>
      <c r="E9" s="9" t="s">
        <v>53</v>
      </c>
      <c r="F9" s="11" t="s">
        <v>53</v>
      </c>
    </row>
    <row r="10" spans="1:6" x14ac:dyDescent="0.25">
      <c r="A10" s="10">
        <v>4</v>
      </c>
      <c r="B10" s="9" t="s">
        <v>94</v>
      </c>
      <c r="C10" s="9" t="s">
        <v>95</v>
      </c>
      <c r="D10" s="9" t="s">
        <v>96</v>
      </c>
      <c r="E10" s="9" t="s">
        <v>53</v>
      </c>
      <c r="F10" s="11" t="s">
        <v>53</v>
      </c>
    </row>
  </sheetData>
  <mergeCells count="5">
    <mergeCell ref="B1:F1"/>
    <mergeCell ref="B2:F2"/>
    <mergeCell ref="B3:F3"/>
    <mergeCell ref="B4:F4"/>
    <mergeCell ref="B7:B8"/>
  </mergeCells>
  <conditionalFormatting sqref="F7:F10">
    <cfRule type="cellIs" dxfId="2" priority="1" operator="equal">
      <formula>"PASS"</formula>
    </cfRule>
    <cfRule type="cellIs" dxfId="3" priority="2" operator="equal">
      <formula>"FAIL"</formula>
    </cfRule>
  </conditionalFormatting>
  <dataValidations count="2">
    <dataValidation type="list" allowBlank="1" sqref="F10">
      <formula1>"PASS,FAIL,BLOCKED,N/A"</formula1>
    </dataValidation>
    <dataValidation type="list" allowBlank="1" sqref="F7:F10">
      <formula1>"PASS,FAIL,BLOCKED,N/A"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6" customWidth="1"/>
    <col min="3" max="4" width="52" customWidth="1"/>
    <col min="5" max="5" width="30" customWidth="1"/>
    <col min="6" max="6" width="12" customWidth="1"/>
  </cols>
  <sheetData>
    <row r="1" spans="1:6" x14ac:dyDescent="0.25">
      <c r="A1" s="8" t="s">
        <v>49</v>
      </c>
      <c r="B1" s="9" t="s">
        <v>11</v>
      </c>
      <c r="C1" s="9"/>
      <c r="D1" s="9"/>
      <c r="E1" s="9"/>
      <c r="F1" s="9"/>
    </row>
    <row r="2" ht="90" customHeight="1" spans="1:6" x14ac:dyDescent="0.25">
      <c r="A2" s="8" t="s">
        <v>50</v>
      </c>
      <c r="B2" s="9" t="s">
        <v>97</v>
      </c>
      <c r="C2" s="9"/>
      <c r="D2" s="9"/>
      <c r="E2" s="9"/>
      <c r="F2" s="9"/>
    </row>
    <row r="3" spans="1:6" x14ac:dyDescent="0.25">
      <c r="A3" s="8" t="s">
        <v>52</v>
      </c>
      <c r="B3" s="9" t="s">
        <v>53</v>
      </c>
      <c r="C3" s="9"/>
      <c r="D3" s="9"/>
      <c r="E3" s="9"/>
      <c r="F3" s="9"/>
    </row>
    <row r="4" spans="1:6" x14ac:dyDescent="0.25">
      <c r="A4" s="8" t="s">
        <v>54</v>
      </c>
      <c r="B4" s="9" t="s">
        <v>53</v>
      </c>
      <c r="C4" s="9"/>
      <c r="D4" s="9"/>
      <c r="E4" s="9"/>
      <c r="F4" s="9"/>
    </row>
    <row r="6" spans="1:6" x14ac:dyDescent="0.25">
      <c r="A6" s="1" t="s">
        <v>55</v>
      </c>
      <c r="B6" s="1" t="s">
        <v>56</v>
      </c>
      <c r="C6" s="1" t="s">
        <v>57</v>
      </c>
      <c r="D6" s="1" t="s">
        <v>58</v>
      </c>
      <c r="E6" s="1" t="s">
        <v>59</v>
      </c>
      <c r="F6" s="1" t="s">
        <v>60</v>
      </c>
    </row>
    <row r="7" spans="1:6" x14ac:dyDescent="0.25">
      <c r="A7" s="10">
        <v>1</v>
      </c>
      <c r="B7" s="9" t="s">
        <v>98</v>
      </c>
      <c r="C7" s="9" t="s">
        <v>99</v>
      </c>
      <c r="D7" s="9" t="s">
        <v>100</v>
      </c>
      <c r="E7" s="9" t="s">
        <v>53</v>
      </c>
      <c r="F7" s="11" t="s">
        <v>53</v>
      </c>
    </row>
    <row r="8" spans="1:6" x14ac:dyDescent="0.25">
      <c r="A8" s="10">
        <v>2</v>
      </c>
      <c r="B8" s="9" t="s">
        <v>101</v>
      </c>
      <c r="C8" s="9" t="s">
        <v>102</v>
      </c>
      <c r="D8" s="9" t="s">
        <v>103</v>
      </c>
      <c r="E8" s="9" t="s">
        <v>53</v>
      </c>
      <c r="F8" s="11" t="s">
        <v>53</v>
      </c>
    </row>
    <row r="9" spans="1:6" x14ac:dyDescent="0.25">
      <c r="A9" s="10">
        <v>3</v>
      </c>
      <c r="B9" s="9"/>
      <c r="C9" s="9" t="s">
        <v>104</v>
      </c>
      <c r="D9" s="9" t="s">
        <v>105</v>
      </c>
      <c r="E9" s="9" t="s">
        <v>53</v>
      </c>
      <c r="F9" s="11" t="s">
        <v>53</v>
      </c>
    </row>
    <row r="10" spans="1:6" x14ac:dyDescent="0.25">
      <c r="A10" s="10">
        <v>4</v>
      </c>
      <c r="B10" s="9" t="s">
        <v>106</v>
      </c>
      <c r="C10" s="9" t="s">
        <v>107</v>
      </c>
      <c r="D10" s="9" t="s">
        <v>108</v>
      </c>
      <c r="E10" s="9" t="s">
        <v>53</v>
      </c>
      <c r="F10" s="11" t="s">
        <v>53</v>
      </c>
    </row>
    <row r="11" spans="1:6" x14ac:dyDescent="0.25">
      <c r="A11" s="10">
        <v>5</v>
      </c>
      <c r="B11" s="9" t="s">
        <v>109</v>
      </c>
      <c r="C11" s="9" t="s">
        <v>110</v>
      </c>
      <c r="D11" s="9" t="s">
        <v>111</v>
      </c>
      <c r="E11" s="9" t="s">
        <v>53</v>
      </c>
      <c r="F11" s="11" t="s">
        <v>53</v>
      </c>
    </row>
    <row r="12" spans="1:6" x14ac:dyDescent="0.25">
      <c r="A12" s="10">
        <v>6</v>
      </c>
      <c r="B12" s="9" t="s">
        <v>112</v>
      </c>
      <c r="C12" s="9" t="s">
        <v>113</v>
      </c>
      <c r="D12" s="9" t="s">
        <v>114</v>
      </c>
      <c r="E12" s="9" t="s">
        <v>53</v>
      </c>
      <c r="F12" s="11" t="s">
        <v>53</v>
      </c>
    </row>
    <row r="13" spans="1:6" x14ac:dyDescent="0.25">
      <c r="A13" s="10">
        <v>7</v>
      </c>
      <c r="B13" s="9" t="s">
        <v>115</v>
      </c>
      <c r="C13" s="9" t="s">
        <v>116</v>
      </c>
      <c r="D13" s="9" t="s">
        <v>117</v>
      </c>
      <c r="E13" s="9" t="s">
        <v>53</v>
      </c>
      <c r="F13" s="11" t="s">
        <v>53</v>
      </c>
    </row>
  </sheetData>
  <mergeCells count="5">
    <mergeCell ref="B1:F1"/>
    <mergeCell ref="B2:F2"/>
    <mergeCell ref="B3:F3"/>
    <mergeCell ref="B4:F4"/>
    <mergeCell ref="B8:B9"/>
  </mergeCells>
  <conditionalFormatting sqref="F7:F13">
    <cfRule type="cellIs" dxfId="4" priority="1" operator="equal">
      <formula>"PASS"</formula>
    </cfRule>
    <cfRule type="cellIs" dxfId="5" priority="2" operator="equal">
      <formula>"FAIL"</formula>
    </cfRule>
  </conditionalFormatting>
  <dataValidations count="2">
    <dataValidation type="list" allowBlank="1" sqref="F10:F13">
      <formula1>"PASS,FAIL,BLOCKED,N/A"</formula1>
    </dataValidation>
    <dataValidation type="list" allowBlank="1" sqref="F7:F13">
      <formula1>"PASS,FAIL,BLOCKED,N/A"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6" customWidth="1"/>
    <col min="3" max="4" width="52" customWidth="1"/>
    <col min="5" max="5" width="30" customWidth="1"/>
    <col min="6" max="6" width="12" customWidth="1"/>
  </cols>
  <sheetData>
    <row r="1" spans="1:6" x14ac:dyDescent="0.25">
      <c r="A1" s="8" t="s">
        <v>49</v>
      </c>
      <c r="B1" s="9" t="s">
        <v>13</v>
      </c>
      <c r="C1" s="9"/>
      <c r="D1" s="9"/>
      <c r="E1" s="9"/>
      <c r="F1" s="9"/>
    </row>
    <row r="2" ht="90" customHeight="1" spans="1:6" x14ac:dyDescent="0.25">
      <c r="A2" s="8" t="s">
        <v>50</v>
      </c>
      <c r="B2" s="9" t="s">
        <v>118</v>
      </c>
      <c r="C2" s="9"/>
      <c r="D2" s="9"/>
      <c r="E2" s="9"/>
      <c r="F2" s="9"/>
    </row>
    <row r="3" spans="1:6" x14ac:dyDescent="0.25">
      <c r="A3" s="8" t="s">
        <v>52</v>
      </c>
      <c r="B3" s="9" t="s">
        <v>53</v>
      </c>
      <c r="C3" s="9"/>
      <c r="D3" s="9"/>
      <c r="E3" s="9"/>
      <c r="F3" s="9"/>
    </row>
    <row r="4" spans="1:6" x14ac:dyDescent="0.25">
      <c r="A4" s="8" t="s">
        <v>54</v>
      </c>
      <c r="B4" s="9" t="s">
        <v>53</v>
      </c>
      <c r="C4" s="9"/>
      <c r="D4" s="9"/>
      <c r="E4" s="9"/>
      <c r="F4" s="9"/>
    </row>
    <row r="6" spans="1:6" x14ac:dyDescent="0.25">
      <c r="A6" s="1" t="s">
        <v>55</v>
      </c>
      <c r="B6" s="1" t="s">
        <v>56</v>
      </c>
      <c r="C6" s="1" t="s">
        <v>57</v>
      </c>
      <c r="D6" s="1" t="s">
        <v>58</v>
      </c>
      <c r="E6" s="1" t="s">
        <v>59</v>
      </c>
      <c r="F6" s="1" t="s">
        <v>60</v>
      </c>
    </row>
    <row r="7" spans="1:6" x14ac:dyDescent="0.25">
      <c r="A7" s="10">
        <v>1</v>
      </c>
      <c r="B7" s="9" t="s">
        <v>119</v>
      </c>
      <c r="C7" s="9" t="s">
        <v>120</v>
      </c>
      <c r="D7" s="9" t="s">
        <v>121</v>
      </c>
      <c r="E7" s="9" t="s">
        <v>53</v>
      </c>
      <c r="F7" s="11" t="s">
        <v>53</v>
      </c>
    </row>
    <row r="8" spans="1:6" x14ac:dyDescent="0.25">
      <c r="A8" s="10">
        <v>2</v>
      </c>
      <c r="B8" s="9" t="s">
        <v>122</v>
      </c>
      <c r="C8" s="9" t="s">
        <v>123</v>
      </c>
      <c r="D8" s="9" t="s">
        <v>124</v>
      </c>
      <c r="E8" s="9" t="s">
        <v>53</v>
      </c>
      <c r="F8" s="11" t="s">
        <v>53</v>
      </c>
    </row>
    <row r="9" spans="1:6" x14ac:dyDescent="0.25">
      <c r="A9" s="10">
        <v>3</v>
      </c>
      <c r="B9" s="9" t="s">
        <v>125</v>
      </c>
      <c r="C9" s="9" t="s">
        <v>126</v>
      </c>
      <c r="D9" s="9" t="s">
        <v>127</v>
      </c>
      <c r="E9" s="9" t="s">
        <v>53</v>
      </c>
      <c r="F9" s="11" t="s">
        <v>53</v>
      </c>
    </row>
    <row r="10" spans="1:6" x14ac:dyDescent="0.25">
      <c r="A10" s="10">
        <v>4</v>
      </c>
      <c r="B10" s="9" t="s">
        <v>128</v>
      </c>
      <c r="C10" s="9" t="s">
        <v>129</v>
      </c>
      <c r="D10" s="9" t="s">
        <v>130</v>
      </c>
      <c r="E10" s="9" t="s">
        <v>53</v>
      </c>
      <c r="F10" s="11" t="s">
        <v>53</v>
      </c>
    </row>
    <row r="11" spans="1:6" x14ac:dyDescent="0.25">
      <c r="A11" s="10">
        <v>5</v>
      </c>
      <c r="B11" s="9" t="s">
        <v>131</v>
      </c>
      <c r="C11" s="9" t="s">
        <v>132</v>
      </c>
      <c r="D11" s="9" t="s">
        <v>133</v>
      </c>
      <c r="E11" s="9" t="s">
        <v>53</v>
      </c>
      <c r="F11" s="11" t="s">
        <v>53</v>
      </c>
    </row>
  </sheetData>
  <mergeCells count="4">
    <mergeCell ref="B1:F1"/>
    <mergeCell ref="B2:F2"/>
    <mergeCell ref="B3:F3"/>
    <mergeCell ref="B4:F4"/>
  </mergeCells>
  <conditionalFormatting sqref="F7:F11">
    <cfRule type="cellIs" dxfId="6" priority="1" operator="equal">
      <formula>"PASS"</formula>
    </cfRule>
    <cfRule type="cellIs" dxfId="7" priority="2" operator="equal">
      <formula>"FAIL"</formula>
    </cfRule>
  </conditionalFormatting>
  <dataValidations count="2">
    <dataValidation type="list" allowBlank="1" sqref="F10:F11">
      <formula1>"PASS,FAIL,BLOCKED,N/A"</formula1>
    </dataValidation>
    <dataValidation type="list" allowBlank="1" sqref="F7:F11">
      <formula1>"PASS,FAIL,BLOCKED,N/A"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6" customWidth="1"/>
    <col min="3" max="4" width="52" customWidth="1"/>
    <col min="5" max="5" width="30" customWidth="1"/>
    <col min="6" max="6" width="12" customWidth="1"/>
  </cols>
  <sheetData>
    <row r="1" spans="1:6" x14ac:dyDescent="0.25">
      <c r="A1" s="8" t="s">
        <v>49</v>
      </c>
      <c r="B1" s="9" t="s">
        <v>15</v>
      </c>
      <c r="C1" s="9"/>
      <c r="D1" s="9"/>
      <c r="E1" s="9"/>
      <c r="F1" s="9"/>
    </row>
    <row r="2" ht="90" customHeight="1" spans="1:6" x14ac:dyDescent="0.25">
      <c r="A2" s="8" t="s">
        <v>50</v>
      </c>
      <c r="B2" s="9" t="s">
        <v>134</v>
      </c>
      <c r="C2" s="9"/>
      <c r="D2" s="9"/>
      <c r="E2" s="9"/>
      <c r="F2" s="9"/>
    </row>
    <row r="3" spans="1:6" x14ac:dyDescent="0.25">
      <c r="A3" s="8" t="s">
        <v>52</v>
      </c>
      <c r="B3" s="9" t="s">
        <v>53</v>
      </c>
      <c r="C3" s="9"/>
      <c r="D3" s="9"/>
      <c r="E3" s="9"/>
      <c r="F3" s="9"/>
    </row>
    <row r="4" spans="1:6" x14ac:dyDescent="0.25">
      <c r="A4" s="8" t="s">
        <v>54</v>
      </c>
      <c r="B4" s="9" t="s">
        <v>53</v>
      </c>
      <c r="C4" s="9"/>
      <c r="D4" s="9"/>
      <c r="E4" s="9"/>
      <c r="F4" s="9"/>
    </row>
    <row r="6" spans="1:6" x14ac:dyDescent="0.25">
      <c r="A6" s="1" t="s">
        <v>55</v>
      </c>
      <c r="B6" s="1" t="s">
        <v>56</v>
      </c>
      <c r="C6" s="1" t="s">
        <v>57</v>
      </c>
      <c r="D6" s="1" t="s">
        <v>58</v>
      </c>
      <c r="E6" s="1" t="s">
        <v>59</v>
      </c>
      <c r="F6" s="1" t="s">
        <v>60</v>
      </c>
    </row>
    <row r="7" spans="1:6" x14ac:dyDescent="0.25">
      <c r="A7" s="10">
        <v>1</v>
      </c>
      <c r="B7" s="9" t="s">
        <v>135</v>
      </c>
      <c r="C7" s="9" t="s">
        <v>136</v>
      </c>
      <c r="D7" s="9" t="s">
        <v>137</v>
      </c>
      <c r="E7" s="9" t="s">
        <v>53</v>
      </c>
      <c r="F7" s="11" t="s">
        <v>53</v>
      </c>
    </row>
    <row r="8" spans="1:6" x14ac:dyDescent="0.25">
      <c r="A8" s="10">
        <v>2</v>
      </c>
      <c r="B8" s="9" t="s">
        <v>138</v>
      </c>
      <c r="C8" s="9" t="s">
        <v>139</v>
      </c>
      <c r="D8" s="9" t="s">
        <v>140</v>
      </c>
      <c r="E8" s="9" t="s">
        <v>53</v>
      </c>
      <c r="F8" s="11" t="s">
        <v>53</v>
      </c>
    </row>
    <row r="9" spans="1:6" x14ac:dyDescent="0.25">
      <c r="A9" s="10">
        <v>3</v>
      </c>
      <c r="B9" s="9" t="s">
        <v>141</v>
      </c>
      <c r="C9" s="9" t="s">
        <v>142</v>
      </c>
      <c r="D9" s="9" t="s">
        <v>143</v>
      </c>
      <c r="E9" s="9" t="s">
        <v>53</v>
      </c>
      <c r="F9" s="11" t="s">
        <v>53</v>
      </c>
    </row>
    <row r="10" spans="1:6" x14ac:dyDescent="0.25">
      <c r="A10" s="10">
        <v>4</v>
      </c>
      <c r="B10" s="9" t="s">
        <v>144</v>
      </c>
      <c r="C10" s="9" t="s">
        <v>145</v>
      </c>
      <c r="D10" s="9" t="s">
        <v>146</v>
      </c>
      <c r="E10" s="9" t="s">
        <v>53</v>
      </c>
      <c r="F10" s="11" t="s">
        <v>53</v>
      </c>
    </row>
    <row r="11" spans="1:6" x14ac:dyDescent="0.25">
      <c r="A11" s="10">
        <v>5</v>
      </c>
      <c r="B11" s="9" t="s">
        <v>147</v>
      </c>
      <c r="C11" s="9" t="s">
        <v>148</v>
      </c>
      <c r="D11" s="9" t="s">
        <v>149</v>
      </c>
      <c r="E11" s="9" t="s">
        <v>53</v>
      </c>
      <c r="F11" s="11" t="s">
        <v>53</v>
      </c>
    </row>
  </sheetData>
  <mergeCells count="4">
    <mergeCell ref="B1:F1"/>
    <mergeCell ref="B2:F2"/>
    <mergeCell ref="B3:F3"/>
    <mergeCell ref="B4:F4"/>
  </mergeCells>
  <conditionalFormatting sqref="F7:F11">
    <cfRule type="cellIs" dxfId="8" priority="1" operator="equal">
      <formula>"PASS"</formula>
    </cfRule>
    <cfRule type="cellIs" dxfId="9" priority="2" operator="equal">
      <formula>"FAIL"</formula>
    </cfRule>
  </conditionalFormatting>
  <dataValidations count="2">
    <dataValidation type="list" allowBlank="1" sqref="F10:F11">
      <formula1>"PASS,FAIL,BLOCKED,N/A"</formula1>
    </dataValidation>
    <dataValidation type="list" allowBlank="1" sqref="F7:F11">
      <formula1>"PASS,FAIL,BLOCKED,N/A"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6" customWidth="1"/>
    <col min="3" max="4" width="52" customWidth="1"/>
    <col min="5" max="5" width="30" customWidth="1"/>
    <col min="6" max="6" width="12" customWidth="1"/>
  </cols>
  <sheetData>
    <row r="1" spans="1:6" x14ac:dyDescent="0.25">
      <c r="A1" s="8" t="s">
        <v>49</v>
      </c>
      <c r="B1" s="9" t="s">
        <v>17</v>
      </c>
      <c r="C1" s="9"/>
      <c r="D1" s="9"/>
      <c r="E1" s="9"/>
      <c r="F1" s="9"/>
    </row>
    <row r="2" ht="90" customHeight="1" spans="1:6" x14ac:dyDescent="0.25">
      <c r="A2" s="8" t="s">
        <v>50</v>
      </c>
      <c r="B2" s="9" t="s">
        <v>150</v>
      </c>
      <c r="C2" s="9"/>
      <c r="D2" s="9"/>
      <c r="E2" s="9"/>
      <c r="F2" s="9"/>
    </row>
    <row r="3" spans="1:6" x14ac:dyDescent="0.25">
      <c r="A3" s="8" t="s">
        <v>52</v>
      </c>
      <c r="B3" s="9" t="s">
        <v>53</v>
      </c>
      <c r="C3" s="9"/>
      <c r="D3" s="9"/>
      <c r="E3" s="9"/>
      <c r="F3" s="9"/>
    </row>
    <row r="4" spans="1:6" x14ac:dyDescent="0.25">
      <c r="A4" s="8" t="s">
        <v>54</v>
      </c>
      <c r="B4" s="9" t="s">
        <v>53</v>
      </c>
      <c r="C4" s="9"/>
      <c r="D4" s="9"/>
      <c r="E4" s="9"/>
      <c r="F4" s="9"/>
    </row>
    <row r="6" spans="1:6" x14ac:dyDescent="0.25">
      <c r="A6" s="1" t="s">
        <v>55</v>
      </c>
      <c r="B6" s="1" t="s">
        <v>56</v>
      </c>
      <c r="C6" s="1" t="s">
        <v>57</v>
      </c>
      <c r="D6" s="1" t="s">
        <v>58</v>
      </c>
      <c r="E6" s="1" t="s">
        <v>59</v>
      </c>
      <c r="F6" s="1" t="s">
        <v>60</v>
      </c>
    </row>
    <row r="7" spans="1:6" x14ac:dyDescent="0.25">
      <c r="A7" s="10">
        <v>1</v>
      </c>
      <c r="B7" s="9" t="s">
        <v>151</v>
      </c>
      <c r="C7" s="9" t="s">
        <v>152</v>
      </c>
      <c r="D7" s="9" t="s">
        <v>153</v>
      </c>
      <c r="E7" s="9" t="s">
        <v>53</v>
      </c>
      <c r="F7" s="11" t="s">
        <v>53</v>
      </c>
    </row>
    <row r="8" spans="1:6" x14ac:dyDescent="0.25">
      <c r="A8" s="10">
        <v>2</v>
      </c>
      <c r="B8" s="9"/>
      <c r="C8" s="9" t="s">
        <v>154</v>
      </c>
      <c r="D8" s="9" t="s">
        <v>155</v>
      </c>
      <c r="E8" s="9" t="s">
        <v>53</v>
      </c>
      <c r="F8" s="11" t="s">
        <v>53</v>
      </c>
    </row>
    <row r="9" spans="1:6" x14ac:dyDescent="0.25">
      <c r="A9" s="10">
        <v>3</v>
      </c>
      <c r="B9" s="9" t="s">
        <v>156</v>
      </c>
      <c r="C9" s="9" t="s">
        <v>157</v>
      </c>
      <c r="D9" s="9" t="s">
        <v>158</v>
      </c>
      <c r="E9" s="9" t="s">
        <v>53</v>
      </c>
      <c r="F9" s="11" t="s">
        <v>53</v>
      </c>
    </row>
    <row r="10" spans="1:6" x14ac:dyDescent="0.25">
      <c r="A10" s="10">
        <v>4</v>
      </c>
      <c r="B10" s="9" t="s">
        <v>159</v>
      </c>
      <c r="C10" s="9" t="s">
        <v>160</v>
      </c>
      <c r="D10" s="9" t="s">
        <v>161</v>
      </c>
      <c r="E10" s="9" t="s">
        <v>53</v>
      </c>
      <c r="F10" s="11" t="s">
        <v>53</v>
      </c>
    </row>
  </sheetData>
  <mergeCells count="5">
    <mergeCell ref="B1:F1"/>
    <mergeCell ref="B2:F2"/>
    <mergeCell ref="B3:F3"/>
    <mergeCell ref="B4:F4"/>
    <mergeCell ref="B7:B8"/>
  </mergeCells>
  <conditionalFormatting sqref="F7:F10">
    <cfRule type="cellIs" dxfId="10" priority="1" operator="equal">
      <formula>"PASS"</formula>
    </cfRule>
    <cfRule type="cellIs" dxfId="11" priority="2" operator="equal">
      <formula>"FAIL"</formula>
    </cfRule>
  </conditionalFormatting>
  <dataValidations count="2">
    <dataValidation type="list" allowBlank="1" sqref="F10">
      <formula1>"PASS,FAIL,BLOCKED,N/A"</formula1>
    </dataValidation>
    <dataValidation type="list" allowBlank="1" sqref="F7:F10">
      <formula1>"PASS,FAIL,BLOCKED,N/A"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6" customWidth="1"/>
    <col min="3" max="4" width="52" customWidth="1"/>
    <col min="5" max="5" width="30" customWidth="1"/>
    <col min="6" max="6" width="12" customWidth="1"/>
  </cols>
  <sheetData>
    <row r="1" spans="1:6" x14ac:dyDescent="0.25">
      <c r="A1" s="8" t="s">
        <v>49</v>
      </c>
      <c r="B1" s="9" t="s">
        <v>19</v>
      </c>
      <c r="C1" s="9"/>
      <c r="D1" s="9"/>
      <c r="E1" s="9"/>
      <c r="F1" s="9"/>
    </row>
    <row r="2" ht="90" customHeight="1" spans="1:6" x14ac:dyDescent="0.25">
      <c r="A2" s="8" t="s">
        <v>50</v>
      </c>
      <c r="B2" s="9" t="s">
        <v>162</v>
      </c>
      <c r="C2" s="9"/>
      <c r="D2" s="9"/>
      <c r="E2" s="9"/>
      <c r="F2" s="9"/>
    </row>
    <row r="3" spans="1:6" x14ac:dyDescent="0.25">
      <c r="A3" s="8" t="s">
        <v>52</v>
      </c>
      <c r="B3" s="9" t="s">
        <v>53</v>
      </c>
      <c r="C3" s="9"/>
      <c r="D3" s="9"/>
      <c r="E3" s="9"/>
      <c r="F3" s="9"/>
    </row>
    <row r="4" spans="1:6" x14ac:dyDescent="0.25">
      <c r="A4" s="8" t="s">
        <v>54</v>
      </c>
      <c r="B4" s="9" t="s">
        <v>53</v>
      </c>
      <c r="C4" s="9"/>
      <c r="D4" s="9"/>
      <c r="E4" s="9"/>
      <c r="F4" s="9"/>
    </row>
    <row r="6" spans="1:6" x14ac:dyDescent="0.25">
      <c r="A6" s="1" t="s">
        <v>55</v>
      </c>
      <c r="B6" s="1" t="s">
        <v>56</v>
      </c>
      <c r="C6" s="1" t="s">
        <v>57</v>
      </c>
      <c r="D6" s="1" t="s">
        <v>58</v>
      </c>
      <c r="E6" s="1" t="s">
        <v>59</v>
      </c>
      <c r="F6" s="1" t="s">
        <v>60</v>
      </c>
    </row>
    <row r="7" spans="1:6" x14ac:dyDescent="0.25">
      <c r="A7" s="10">
        <v>1</v>
      </c>
      <c r="B7" s="9" t="s">
        <v>163</v>
      </c>
      <c r="C7" s="9" t="s">
        <v>164</v>
      </c>
      <c r="D7" s="9" t="s">
        <v>165</v>
      </c>
      <c r="E7" s="9" t="s">
        <v>53</v>
      </c>
      <c r="F7" s="11" t="s">
        <v>53</v>
      </c>
    </row>
    <row r="8" spans="1:6" x14ac:dyDescent="0.25">
      <c r="A8" s="10">
        <v>2</v>
      </c>
      <c r="B8" s="9" t="s">
        <v>166</v>
      </c>
      <c r="C8" s="9" t="s">
        <v>167</v>
      </c>
      <c r="D8" s="9" t="s">
        <v>168</v>
      </c>
      <c r="E8" s="9" t="s">
        <v>53</v>
      </c>
      <c r="F8" s="11" t="s">
        <v>53</v>
      </c>
    </row>
    <row r="9" spans="1:6" x14ac:dyDescent="0.25">
      <c r="A9" s="10">
        <v>3</v>
      </c>
      <c r="B9" s="9" t="s">
        <v>169</v>
      </c>
      <c r="C9" s="9" t="s">
        <v>170</v>
      </c>
      <c r="D9" s="9" t="s">
        <v>171</v>
      </c>
      <c r="E9" s="9" t="s">
        <v>53</v>
      </c>
      <c r="F9" s="11" t="s">
        <v>53</v>
      </c>
    </row>
    <row r="10" spans="1:6" x14ac:dyDescent="0.25">
      <c r="A10" s="10">
        <v>4</v>
      </c>
      <c r="B10" s="9" t="s">
        <v>172</v>
      </c>
      <c r="C10" s="9" t="s">
        <v>173</v>
      </c>
      <c r="D10" s="9" t="s">
        <v>174</v>
      </c>
      <c r="E10" s="9" t="s">
        <v>53</v>
      </c>
      <c r="F10" s="11" t="s">
        <v>53</v>
      </c>
    </row>
    <row r="11" spans="1:6" x14ac:dyDescent="0.25">
      <c r="A11" s="10">
        <v>5</v>
      </c>
      <c r="B11" s="9" t="s">
        <v>175</v>
      </c>
      <c r="C11" s="9" t="s">
        <v>176</v>
      </c>
      <c r="D11" s="9" t="s">
        <v>177</v>
      </c>
      <c r="E11" s="9" t="s">
        <v>53</v>
      </c>
      <c r="F11" s="11" t="s">
        <v>53</v>
      </c>
    </row>
  </sheetData>
  <mergeCells count="4">
    <mergeCell ref="B1:F1"/>
    <mergeCell ref="B2:F2"/>
    <mergeCell ref="B3:F3"/>
    <mergeCell ref="B4:F4"/>
  </mergeCells>
  <conditionalFormatting sqref="F7:F11">
    <cfRule type="cellIs" dxfId="12" priority="1" operator="equal">
      <formula>"PASS"</formula>
    </cfRule>
    <cfRule type="cellIs" dxfId="13" priority="2" operator="equal">
      <formula>"FAIL"</formula>
    </cfRule>
  </conditionalFormatting>
  <dataValidations count="2">
    <dataValidation type="list" allowBlank="1" sqref="F10:F11">
      <formula1>"PASS,FAIL,BLOCKED,N/A"</formula1>
    </dataValidation>
    <dataValidation type="list" allowBlank="1" sqref="F7:F11">
      <formula1>"PASS,FAIL,BLOCKED,N/A"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6" customWidth="1"/>
    <col min="3" max="4" width="52" customWidth="1"/>
    <col min="5" max="5" width="30" customWidth="1"/>
    <col min="6" max="6" width="12" customWidth="1"/>
  </cols>
  <sheetData>
    <row r="1" spans="1:6" x14ac:dyDescent="0.25">
      <c r="A1" s="8" t="s">
        <v>49</v>
      </c>
      <c r="B1" s="9" t="s">
        <v>21</v>
      </c>
      <c r="C1" s="9"/>
      <c r="D1" s="9"/>
      <c r="E1" s="9"/>
      <c r="F1" s="9"/>
    </row>
    <row r="2" ht="90" customHeight="1" spans="1:6" x14ac:dyDescent="0.25">
      <c r="A2" s="8" t="s">
        <v>50</v>
      </c>
      <c r="B2" s="9" t="s">
        <v>178</v>
      </c>
      <c r="C2" s="9"/>
      <c r="D2" s="9"/>
      <c r="E2" s="9"/>
      <c r="F2" s="9"/>
    </row>
    <row r="3" spans="1:6" x14ac:dyDescent="0.25">
      <c r="A3" s="8" t="s">
        <v>52</v>
      </c>
      <c r="B3" s="9" t="s">
        <v>53</v>
      </c>
      <c r="C3" s="9"/>
      <c r="D3" s="9"/>
      <c r="E3" s="9"/>
      <c r="F3" s="9"/>
    </row>
    <row r="4" spans="1:6" x14ac:dyDescent="0.25">
      <c r="A4" s="8" t="s">
        <v>54</v>
      </c>
      <c r="B4" s="9" t="s">
        <v>53</v>
      </c>
      <c r="C4" s="9"/>
      <c r="D4" s="9"/>
      <c r="E4" s="9"/>
      <c r="F4" s="9"/>
    </row>
    <row r="6" spans="1:6" x14ac:dyDescent="0.25">
      <c r="A6" s="1" t="s">
        <v>55</v>
      </c>
      <c r="B6" s="1" t="s">
        <v>56</v>
      </c>
      <c r="C6" s="1" t="s">
        <v>57</v>
      </c>
      <c r="D6" s="1" t="s">
        <v>58</v>
      </c>
      <c r="E6" s="1" t="s">
        <v>59</v>
      </c>
      <c r="F6" s="1" t="s">
        <v>60</v>
      </c>
    </row>
    <row r="7" spans="1:6" x14ac:dyDescent="0.25">
      <c r="A7" s="10">
        <v>1</v>
      </c>
      <c r="B7" s="9" t="s">
        <v>179</v>
      </c>
      <c r="C7" s="9" t="s">
        <v>180</v>
      </c>
      <c r="D7" s="9" t="s">
        <v>181</v>
      </c>
      <c r="E7" s="9" t="s">
        <v>53</v>
      </c>
      <c r="F7" s="11" t="s">
        <v>53</v>
      </c>
    </row>
    <row r="8" spans="1:6" x14ac:dyDescent="0.25">
      <c r="A8" s="10">
        <v>2</v>
      </c>
      <c r="B8" s="9"/>
      <c r="C8" s="9" t="s">
        <v>182</v>
      </c>
      <c r="D8" s="9" t="s">
        <v>183</v>
      </c>
      <c r="E8" s="9" t="s">
        <v>53</v>
      </c>
      <c r="F8" s="11" t="s">
        <v>53</v>
      </c>
    </row>
    <row r="9" spans="1:6" x14ac:dyDescent="0.25">
      <c r="A9" s="10">
        <v>3</v>
      </c>
      <c r="B9" s="9" t="s">
        <v>184</v>
      </c>
      <c r="C9" s="9" t="s">
        <v>185</v>
      </c>
      <c r="D9" s="9" t="s">
        <v>186</v>
      </c>
      <c r="E9" s="9" t="s">
        <v>53</v>
      </c>
      <c r="F9" s="11" t="s">
        <v>53</v>
      </c>
    </row>
    <row r="10" spans="1:6" x14ac:dyDescent="0.25">
      <c r="A10" s="10">
        <v>4</v>
      </c>
      <c r="B10" s="9" t="s">
        <v>187</v>
      </c>
      <c r="C10" s="9" t="s">
        <v>188</v>
      </c>
      <c r="D10" s="9" t="s">
        <v>189</v>
      </c>
      <c r="E10" s="9" t="s">
        <v>53</v>
      </c>
      <c r="F10" s="11" t="s">
        <v>53</v>
      </c>
    </row>
    <row r="11" spans="1:6" x14ac:dyDescent="0.25">
      <c r="A11" s="10">
        <v>5</v>
      </c>
      <c r="B11" s="9" t="s">
        <v>190</v>
      </c>
      <c r="C11" s="9" t="s">
        <v>191</v>
      </c>
      <c r="D11" s="9" t="s">
        <v>192</v>
      </c>
      <c r="E11" s="9" t="s">
        <v>53</v>
      </c>
      <c r="F11" s="11" t="s">
        <v>53</v>
      </c>
    </row>
  </sheetData>
  <mergeCells count="5">
    <mergeCell ref="B1:F1"/>
    <mergeCell ref="B2:F2"/>
    <mergeCell ref="B3:F3"/>
    <mergeCell ref="B4:F4"/>
    <mergeCell ref="B7:B8"/>
  </mergeCells>
  <conditionalFormatting sqref="F7:F11">
    <cfRule type="cellIs" dxfId="14" priority="1" operator="equal">
      <formula>"PASS"</formula>
    </cfRule>
    <cfRule type="cellIs" dxfId="15" priority="2" operator="equal">
      <formula>"FAIL"</formula>
    </cfRule>
  </conditionalFormatting>
  <dataValidations count="2">
    <dataValidation type="list" allowBlank="1" sqref="F10:F11">
      <formula1>"PASS,FAIL,BLOCKED,N/A"</formula1>
    </dataValidation>
    <dataValidation type="list" allowBlank="1" sqref="F7:F11">
      <formula1>"PASS,FAIL,BLOCKED,N/A"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6" customWidth="1"/>
    <col min="3" max="4" width="52" customWidth="1"/>
    <col min="5" max="5" width="30" customWidth="1"/>
    <col min="6" max="6" width="12" customWidth="1"/>
  </cols>
  <sheetData>
    <row r="1" spans="1:6" x14ac:dyDescent="0.25">
      <c r="A1" s="8" t="s">
        <v>49</v>
      </c>
      <c r="B1" s="9" t="s">
        <v>23</v>
      </c>
      <c r="C1" s="9"/>
      <c r="D1" s="9"/>
      <c r="E1" s="9"/>
      <c r="F1" s="9"/>
    </row>
    <row r="2" ht="90" customHeight="1" spans="1:6" x14ac:dyDescent="0.25">
      <c r="A2" s="8" t="s">
        <v>50</v>
      </c>
      <c r="B2" s="9" t="s">
        <v>193</v>
      </c>
      <c r="C2" s="9"/>
      <c r="D2" s="9"/>
      <c r="E2" s="9"/>
      <c r="F2" s="9"/>
    </row>
    <row r="3" spans="1:6" x14ac:dyDescent="0.25">
      <c r="A3" s="8" t="s">
        <v>52</v>
      </c>
      <c r="B3" s="9" t="s">
        <v>53</v>
      </c>
      <c r="C3" s="9"/>
      <c r="D3" s="9"/>
      <c r="E3" s="9"/>
      <c r="F3" s="9"/>
    </row>
    <row r="4" spans="1:6" x14ac:dyDescent="0.25">
      <c r="A4" s="8" t="s">
        <v>54</v>
      </c>
      <c r="B4" s="9" t="s">
        <v>53</v>
      </c>
      <c r="C4" s="9"/>
      <c r="D4" s="9"/>
      <c r="E4" s="9"/>
      <c r="F4" s="9"/>
    </row>
    <row r="6" spans="1:6" x14ac:dyDescent="0.25">
      <c r="A6" s="1" t="s">
        <v>55</v>
      </c>
      <c r="B6" s="1" t="s">
        <v>56</v>
      </c>
      <c r="C6" s="1" t="s">
        <v>57</v>
      </c>
      <c r="D6" s="1" t="s">
        <v>58</v>
      </c>
      <c r="E6" s="1" t="s">
        <v>59</v>
      </c>
      <c r="F6" s="1" t="s">
        <v>60</v>
      </c>
    </row>
    <row r="7" spans="1:6" x14ac:dyDescent="0.25">
      <c r="A7" s="10">
        <v>1</v>
      </c>
      <c r="B7" s="9" t="s">
        <v>194</v>
      </c>
      <c r="C7" s="9" t="s">
        <v>195</v>
      </c>
      <c r="D7" s="9" t="s">
        <v>196</v>
      </c>
      <c r="E7" s="9" t="s">
        <v>53</v>
      </c>
      <c r="F7" s="11" t="s">
        <v>53</v>
      </c>
    </row>
    <row r="8" spans="1:6" x14ac:dyDescent="0.25">
      <c r="A8" s="10">
        <v>2</v>
      </c>
      <c r="B8" s="9" t="s">
        <v>101</v>
      </c>
      <c r="C8" s="9" t="s">
        <v>197</v>
      </c>
      <c r="D8" s="9" t="s">
        <v>198</v>
      </c>
      <c r="E8" s="9" t="s">
        <v>53</v>
      </c>
      <c r="F8" s="11" t="s">
        <v>53</v>
      </c>
    </row>
    <row r="9" spans="1:6" x14ac:dyDescent="0.25">
      <c r="A9" s="10">
        <v>3</v>
      </c>
      <c r="B9" s="9" t="s">
        <v>199</v>
      </c>
      <c r="C9" s="9" t="s">
        <v>200</v>
      </c>
      <c r="D9" s="9" t="s">
        <v>201</v>
      </c>
      <c r="E9" s="9" t="s">
        <v>53</v>
      </c>
      <c r="F9" s="11" t="s">
        <v>53</v>
      </c>
    </row>
    <row r="10" spans="1:6" x14ac:dyDescent="0.25">
      <c r="A10" s="10">
        <v>4</v>
      </c>
      <c r="B10" s="9" t="s">
        <v>202</v>
      </c>
      <c r="C10" s="9" t="s">
        <v>203</v>
      </c>
      <c r="D10" s="9" t="s">
        <v>204</v>
      </c>
      <c r="E10" s="9" t="s">
        <v>53</v>
      </c>
      <c r="F10" s="11" t="s">
        <v>53</v>
      </c>
    </row>
    <row r="11" spans="1:6" x14ac:dyDescent="0.25">
      <c r="A11" s="10">
        <v>5</v>
      </c>
      <c r="B11" s="9" t="s">
        <v>115</v>
      </c>
      <c r="C11" s="9" t="s">
        <v>205</v>
      </c>
      <c r="D11" s="9" t="s">
        <v>206</v>
      </c>
      <c r="E11" s="9" t="s">
        <v>53</v>
      </c>
      <c r="F11" s="11" t="s">
        <v>53</v>
      </c>
    </row>
  </sheetData>
  <mergeCells count="4">
    <mergeCell ref="B1:F1"/>
    <mergeCell ref="B2:F2"/>
    <mergeCell ref="B3:F3"/>
    <mergeCell ref="B4:F4"/>
  </mergeCells>
  <conditionalFormatting sqref="F7:F11">
    <cfRule type="cellIs" dxfId="16" priority="1" operator="equal">
      <formula>"PASS"</formula>
    </cfRule>
    <cfRule type="cellIs" dxfId="17" priority="2" operator="equal">
      <formula>"FAIL"</formula>
    </cfRule>
  </conditionalFormatting>
  <dataValidations count="2">
    <dataValidation type="list" allowBlank="1" sqref="F10:F11">
      <formula1>"PASS,FAIL,BLOCKED,N/A"</formula1>
    </dataValidation>
    <dataValidation type="list" allowBlank="1" sqref="F7:F11">
      <formula1>"PASS,FAIL,BLOCKED,N/A"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6" customWidth="1"/>
    <col min="3" max="4" width="52" customWidth="1"/>
    <col min="5" max="5" width="30" customWidth="1"/>
    <col min="6" max="6" width="12" customWidth="1"/>
  </cols>
  <sheetData>
    <row r="1" spans="1:6" x14ac:dyDescent="0.25">
      <c r="A1" s="8" t="s">
        <v>49</v>
      </c>
      <c r="B1" s="9" t="s">
        <v>25</v>
      </c>
      <c r="C1" s="9"/>
      <c r="D1" s="9"/>
      <c r="E1" s="9"/>
      <c r="F1" s="9"/>
    </row>
    <row r="2" ht="90" customHeight="1" spans="1:6" x14ac:dyDescent="0.25">
      <c r="A2" s="8" t="s">
        <v>50</v>
      </c>
      <c r="B2" s="9" t="s">
        <v>207</v>
      </c>
      <c r="C2" s="9"/>
      <c r="D2" s="9"/>
      <c r="E2" s="9"/>
      <c r="F2" s="9"/>
    </row>
    <row r="3" spans="1:6" x14ac:dyDescent="0.25">
      <c r="A3" s="8" t="s">
        <v>52</v>
      </c>
      <c r="B3" s="9" t="s">
        <v>53</v>
      </c>
      <c r="C3" s="9"/>
      <c r="D3" s="9"/>
      <c r="E3" s="9"/>
      <c r="F3" s="9"/>
    </row>
    <row r="4" spans="1:6" x14ac:dyDescent="0.25">
      <c r="A4" s="8" t="s">
        <v>54</v>
      </c>
      <c r="B4" s="9" t="s">
        <v>53</v>
      </c>
      <c r="C4" s="9"/>
      <c r="D4" s="9"/>
      <c r="E4" s="9"/>
      <c r="F4" s="9"/>
    </row>
    <row r="6" spans="1:6" x14ac:dyDescent="0.25">
      <c r="A6" s="1" t="s">
        <v>55</v>
      </c>
      <c r="B6" s="1" t="s">
        <v>56</v>
      </c>
      <c r="C6" s="1" t="s">
        <v>57</v>
      </c>
      <c r="D6" s="1" t="s">
        <v>58</v>
      </c>
      <c r="E6" s="1" t="s">
        <v>59</v>
      </c>
      <c r="F6" s="1" t="s">
        <v>60</v>
      </c>
    </row>
    <row r="7" spans="1:6" x14ac:dyDescent="0.25">
      <c r="A7" s="10">
        <v>1</v>
      </c>
      <c r="B7" s="9" t="s">
        <v>208</v>
      </c>
      <c r="C7" s="9" t="s">
        <v>209</v>
      </c>
      <c r="D7" s="9" t="s">
        <v>210</v>
      </c>
      <c r="E7" s="9" t="s">
        <v>53</v>
      </c>
      <c r="F7" s="11" t="s">
        <v>53</v>
      </c>
    </row>
    <row r="8" spans="1:6" x14ac:dyDescent="0.25">
      <c r="A8" s="10">
        <v>2</v>
      </c>
      <c r="B8" s="9" t="s">
        <v>211</v>
      </c>
      <c r="C8" s="9" t="s">
        <v>212</v>
      </c>
      <c r="D8" s="9" t="s">
        <v>213</v>
      </c>
      <c r="E8" s="9" t="s">
        <v>53</v>
      </c>
      <c r="F8" s="11" t="s">
        <v>53</v>
      </c>
    </row>
    <row r="9" spans="1:6" x14ac:dyDescent="0.25">
      <c r="A9" s="10">
        <v>3</v>
      </c>
      <c r="B9" s="9" t="s">
        <v>214</v>
      </c>
      <c r="C9" s="9" t="s">
        <v>215</v>
      </c>
      <c r="D9" s="9" t="s">
        <v>216</v>
      </c>
      <c r="E9" s="9" t="s">
        <v>53</v>
      </c>
      <c r="F9" s="11" t="s">
        <v>53</v>
      </c>
    </row>
    <row r="10" spans="1:6" x14ac:dyDescent="0.25">
      <c r="A10" s="10">
        <v>4</v>
      </c>
      <c r="B10" s="9" t="s">
        <v>217</v>
      </c>
      <c r="C10" s="9" t="s">
        <v>218</v>
      </c>
      <c r="D10" s="9" t="s">
        <v>219</v>
      </c>
      <c r="E10" s="9" t="s">
        <v>53</v>
      </c>
      <c r="F10" s="11" t="s">
        <v>53</v>
      </c>
    </row>
  </sheetData>
  <mergeCells count="4">
    <mergeCell ref="B1:F1"/>
    <mergeCell ref="B2:F2"/>
    <mergeCell ref="B3:F3"/>
    <mergeCell ref="B4:F4"/>
  </mergeCells>
  <conditionalFormatting sqref="F7:F10">
    <cfRule type="cellIs" dxfId="18" priority="1" operator="equal">
      <formula>"PASS"</formula>
    </cfRule>
    <cfRule type="cellIs" dxfId="19" priority="2" operator="equal">
      <formula>"FAIL"</formula>
    </cfRule>
  </conditionalFormatting>
  <dataValidations count="2">
    <dataValidation type="list" allowBlank="1" sqref="F10">
      <formula1>"PASS,FAIL,BLOCKED,N/A"</formula1>
    </dataValidation>
    <dataValidation type="list" allowBlank="1" sqref="F7:F10">
      <formula1>"PASS,FAIL,BLOCKED,N/A"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6" customWidth="1"/>
    <col min="3" max="4" width="52" customWidth="1"/>
    <col min="5" max="5" width="30" customWidth="1"/>
    <col min="6" max="6" width="12" customWidth="1"/>
  </cols>
  <sheetData>
    <row r="1" spans="1:6" x14ac:dyDescent="0.25">
      <c r="A1" s="8" t="s">
        <v>49</v>
      </c>
      <c r="B1" s="9" t="s">
        <v>27</v>
      </c>
      <c r="C1" s="9"/>
      <c r="D1" s="9"/>
      <c r="E1" s="9"/>
      <c r="F1" s="9"/>
    </row>
    <row r="2" ht="90" customHeight="1" spans="1:6" x14ac:dyDescent="0.25">
      <c r="A2" s="8" t="s">
        <v>50</v>
      </c>
      <c r="B2" s="9" t="s">
        <v>220</v>
      </c>
      <c r="C2" s="9"/>
      <c r="D2" s="9"/>
      <c r="E2" s="9"/>
      <c r="F2" s="9"/>
    </row>
    <row r="3" spans="1:6" x14ac:dyDescent="0.25">
      <c r="A3" s="8" t="s">
        <v>52</v>
      </c>
      <c r="B3" s="9" t="s">
        <v>53</v>
      </c>
      <c r="C3" s="9"/>
      <c r="D3" s="9"/>
      <c r="E3" s="9"/>
      <c r="F3" s="9"/>
    </row>
    <row r="4" spans="1:6" x14ac:dyDescent="0.25">
      <c r="A4" s="8" t="s">
        <v>54</v>
      </c>
      <c r="B4" s="9" t="s">
        <v>53</v>
      </c>
      <c r="C4" s="9"/>
      <c r="D4" s="9"/>
      <c r="E4" s="9"/>
      <c r="F4" s="9"/>
    </row>
    <row r="6" spans="1:6" x14ac:dyDescent="0.25">
      <c r="A6" s="1" t="s">
        <v>55</v>
      </c>
      <c r="B6" s="1" t="s">
        <v>56</v>
      </c>
      <c r="C6" s="1" t="s">
        <v>57</v>
      </c>
      <c r="D6" s="1" t="s">
        <v>58</v>
      </c>
      <c r="E6" s="1" t="s">
        <v>59</v>
      </c>
      <c r="F6" s="1" t="s">
        <v>60</v>
      </c>
    </row>
    <row r="7" spans="1:6" x14ac:dyDescent="0.25">
      <c r="A7" s="10">
        <v>1</v>
      </c>
      <c r="B7" s="9" t="s">
        <v>221</v>
      </c>
      <c r="C7" s="9" t="s">
        <v>222</v>
      </c>
      <c r="D7" s="9" t="s">
        <v>223</v>
      </c>
      <c r="E7" s="9" t="s">
        <v>53</v>
      </c>
      <c r="F7" s="11" t="s">
        <v>53</v>
      </c>
    </row>
    <row r="8" spans="1:6" x14ac:dyDescent="0.25">
      <c r="A8" s="10">
        <v>2</v>
      </c>
      <c r="B8" s="9" t="s">
        <v>224</v>
      </c>
      <c r="C8" s="9" t="s">
        <v>225</v>
      </c>
      <c r="D8" s="9" t="s">
        <v>226</v>
      </c>
      <c r="E8" s="9" t="s">
        <v>53</v>
      </c>
      <c r="F8" s="11" t="s">
        <v>53</v>
      </c>
    </row>
    <row r="9" spans="1:6" x14ac:dyDescent="0.25">
      <c r="A9" s="10">
        <v>3</v>
      </c>
      <c r="B9" s="9" t="s">
        <v>227</v>
      </c>
      <c r="C9" s="9" t="s">
        <v>228</v>
      </c>
      <c r="D9" s="9" t="s">
        <v>229</v>
      </c>
      <c r="E9" s="9" t="s">
        <v>53</v>
      </c>
      <c r="F9" s="11" t="s">
        <v>53</v>
      </c>
    </row>
    <row r="10" spans="1:6" x14ac:dyDescent="0.25">
      <c r="A10" s="10">
        <v>4</v>
      </c>
      <c r="B10" s="9" t="s">
        <v>230</v>
      </c>
      <c r="C10" s="9" t="s">
        <v>231</v>
      </c>
      <c r="D10" s="9" t="s">
        <v>232</v>
      </c>
      <c r="E10" s="9" t="s">
        <v>53</v>
      </c>
      <c r="F10" s="11" t="s">
        <v>53</v>
      </c>
    </row>
  </sheetData>
  <mergeCells count="4">
    <mergeCell ref="B1:F1"/>
    <mergeCell ref="B2:F2"/>
    <mergeCell ref="B3:F3"/>
    <mergeCell ref="B4:F4"/>
  </mergeCells>
  <conditionalFormatting sqref="F7:F10">
    <cfRule type="cellIs" dxfId="20" priority="1" operator="equal">
      <formula>"PASS"</formula>
    </cfRule>
    <cfRule type="cellIs" dxfId="21" priority="2" operator="equal">
      <formula>"FAIL"</formula>
    </cfRule>
  </conditionalFormatting>
  <dataValidations count="2">
    <dataValidation type="list" allowBlank="1" sqref="F10">
      <formula1>"PASS,FAIL,BLOCKED,N/A"</formula1>
    </dataValidation>
    <dataValidation type="list" allowBlank="1" sqref="F7:F10">
      <formula1>"PASS,FAIL,BLOCKED,N/A"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6" customWidth="1"/>
    <col min="3" max="4" width="52" customWidth="1"/>
    <col min="5" max="5" width="30" customWidth="1"/>
    <col min="6" max="6" width="12" customWidth="1"/>
  </cols>
  <sheetData>
    <row r="1" spans="1:6" x14ac:dyDescent="0.25">
      <c r="A1" s="8" t="s">
        <v>49</v>
      </c>
      <c r="B1" s="9" t="s">
        <v>29</v>
      </c>
      <c r="C1" s="9"/>
      <c r="D1" s="9"/>
      <c r="E1" s="9"/>
      <c r="F1" s="9"/>
    </row>
    <row r="2" ht="90" customHeight="1" spans="1:6" x14ac:dyDescent="0.25">
      <c r="A2" s="8" t="s">
        <v>50</v>
      </c>
      <c r="B2" s="9" t="s">
        <v>233</v>
      </c>
      <c r="C2" s="9"/>
      <c r="D2" s="9"/>
      <c r="E2" s="9"/>
      <c r="F2" s="9"/>
    </row>
    <row r="3" spans="1:6" x14ac:dyDescent="0.25">
      <c r="A3" s="8" t="s">
        <v>52</v>
      </c>
      <c r="B3" s="9" t="s">
        <v>53</v>
      </c>
      <c r="C3" s="9"/>
      <c r="D3" s="9"/>
      <c r="E3" s="9"/>
      <c r="F3" s="9"/>
    </row>
    <row r="4" spans="1:6" x14ac:dyDescent="0.25">
      <c r="A4" s="8" t="s">
        <v>54</v>
      </c>
      <c r="B4" s="9" t="s">
        <v>53</v>
      </c>
      <c r="C4" s="9"/>
      <c r="D4" s="9"/>
      <c r="E4" s="9"/>
      <c r="F4" s="9"/>
    </row>
    <row r="6" spans="1:6" x14ac:dyDescent="0.25">
      <c r="A6" s="1" t="s">
        <v>55</v>
      </c>
      <c r="B6" s="1" t="s">
        <v>56</v>
      </c>
      <c r="C6" s="1" t="s">
        <v>57</v>
      </c>
      <c r="D6" s="1" t="s">
        <v>58</v>
      </c>
      <c r="E6" s="1" t="s">
        <v>59</v>
      </c>
      <c r="F6" s="1" t="s">
        <v>60</v>
      </c>
    </row>
    <row r="7" spans="1:6" x14ac:dyDescent="0.25">
      <c r="A7" s="10">
        <v>1</v>
      </c>
      <c r="B7" s="9" t="s">
        <v>234</v>
      </c>
      <c r="C7" s="9" t="s">
        <v>235</v>
      </c>
      <c r="D7" s="9" t="s">
        <v>236</v>
      </c>
      <c r="E7" s="9" t="s">
        <v>53</v>
      </c>
      <c r="F7" s="11" t="s">
        <v>53</v>
      </c>
    </row>
    <row r="8" spans="1:6" x14ac:dyDescent="0.25">
      <c r="A8" s="10">
        <v>2</v>
      </c>
      <c r="B8" s="9" t="s">
        <v>237</v>
      </c>
      <c r="C8" s="9" t="s">
        <v>238</v>
      </c>
      <c r="D8" s="9" t="s">
        <v>239</v>
      </c>
      <c r="E8" s="9" t="s">
        <v>53</v>
      </c>
      <c r="F8" s="11" t="s">
        <v>53</v>
      </c>
    </row>
    <row r="9" spans="1:6" x14ac:dyDescent="0.25">
      <c r="A9" s="10">
        <v>3</v>
      </c>
      <c r="B9" s="9" t="s">
        <v>240</v>
      </c>
      <c r="C9" s="9" t="s">
        <v>241</v>
      </c>
      <c r="D9" s="9" t="s">
        <v>242</v>
      </c>
      <c r="E9" s="9" t="s">
        <v>53</v>
      </c>
      <c r="F9" s="11" t="s">
        <v>53</v>
      </c>
    </row>
    <row r="10" spans="1:6" x14ac:dyDescent="0.25">
      <c r="A10" s="10">
        <v>4</v>
      </c>
      <c r="B10" s="9" t="s">
        <v>243</v>
      </c>
      <c r="C10" s="9" t="s">
        <v>244</v>
      </c>
      <c r="D10" s="9" t="s">
        <v>245</v>
      </c>
      <c r="E10" s="9" t="s">
        <v>53</v>
      </c>
      <c r="F10" s="11" t="s">
        <v>53</v>
      </c>
    </row>
    <row r="11" spans="1:6" x14ac:dyDescent="0.25">
      <c r="A11" s="10">
        <v>5</v>
      </c>
      <c r="B11" s="9" t="s">
        <v>246</v>
      </c>
      <c r="C11" s="9" t="s">
        <v>247</v>
      </c>
      <c r="D11" s="9" t="s">
        <v>248</v>
      </c>
      <c r="E11" s="9" t="s">
        <v>53</v>
      </c>
      <c r="F11" s="11" t="s">
        <v>53</v>
      </c>
    </row>
    <row r="12" spans="1:6" x14ac:dyDescent="0.25">
      <c r="A12" s="10">
        <v>6</v>
      </c>
      <c r="B12" s="9" t="s">
        <v>249</v>
      </c>
      <c r="C12" s="9" t="s">
        <v>250</v>
      </c>
      <c r="D12" s="9" t="s">
        <v>251</v>
      </c>
      <c r="E12" s="9" t="s">
        <v>53</v>
      </c>
      <c r="F12" s="11" t="s">
        <v>53</v>
      </c>
    </row>
  </sheetData>
  <mergeCells count="4">
    <mergeCell ref="B1:F1"/>
    <mergeCell ref="B2:F2"/>
    <mergeCell ref="B3:F3"/>
    <mergeCell ref="B4:F4"/>
  </mergeCells>
  <conditionalFormatting sqref="F7:F12">
    <cfRule type="cellIs" dxfId="22" priority="1" operator="equal">
      <formula>"PASS"</formula>
    </cfRule>
    <cfRule type="cellIs" dxfId="23" priority="2" operator="equal">
      <formula>"FAIL"</formula>
    </cfRule>
  </conditionalFormatting>
  <dataValidations count="2">
    <dataValidation type="list" allowBlank="1" sqref="F10:F12">
      <formula1>"PASS,FAIL,BLOCKED,N/A"</formula1>
    </dataValidation>
    <dataValidation type="list" allowBlank="1" sqref="F7:F12">
      <formula1>"PASS,FAIL,BLOCKED,N/A"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6" customWidth="1"/>
    <col min="3" max="4" width="52" customWidth="1"/>
    <col min="5" max="5" width="30" customWidth="1"/>
    <col min="6" max="6" width="12" customWidth="1"/>
  </cols>
  <sheetData>
    <row r="1" spans="1:6" x14ac:dyDescent="0.25">
      <c r="A1" s="8" t="s">
        <v>49</v>
      </c>
      <c r="B1" s="9" t="s">
        <v>31</v>
      </c>
      <c r="C1" s="9"/>
      <c r="D1" s="9"/>
      <c r="E1" s="9"/>
      <c r="F1" s="9"/>
    </row>
    <row r="2" ht="90" customHeight="1" spans="1:6" x14ac:dyDescent="0.25">
      <c r="A2" s="8" t="s">
        <v>50</v>
      </c>
      <c r="B2" s="9" t="s">
        <v>252</v>
      </c>
      <c r="C2" s="9"/>
      <c r="D2" s="9"/>
      <c r="E2" s="9"/>
      <c r="F2" s="9"/>
    </row>
    <row r="3" spans="1:6" x14ac:dyDescent="0.25">
      <c r="A3" s="8" t="s">
        <v>52</v>
      </c>
      <c r="B3" s="9" t="s">
        <v>53</v>
      </c>
      <c r="C3" s="9"/>
      <c r="D3" s="9"/>
      <c r="E3" s="9"/>
      <c r="F3" s="9"/>
    </row>
    <row r="4" spans="1:6" x14ac:dyDescent="0.25">
      <c r="A4" s="8" t="s">
        <v>54</v>
      </c>
      <c r="B4" s="9" t="s">
        <v>53</v>
      </c>
      <c r="C4" s="9"/>
      <c r="D4" s="9"/>
      <c r="E4" s="9"/>
      <c r="F4" s="9"/>
    </row>
    <row r="6" spans="1:6" x14ac:dyDescent="0.25">
      <c r="A6" s="1" t="s">
        <v>55</v>
      </c>
      <c r="B6" s="1" t="s">
        <v>56</v>
      </c>
      <c r="C6" s="1" t="s">
        <v>57</v>
      </c>
      <c r="D6" s="1" t="s">
        <v>58</v>
      </c>
      <c r="E6" s="1" t="s">
        <v>59</v>
      </c>
      <c r="F6" s="1" t="s">
        <v>60</v>
      </c>
    </row>
    <row r="7" spans="1:6" x14ac:dyDescent="0.25">
      <c r="A7" s="10">
        <v>1</v>
      </c>
      <c r="B7" s="9" t="s">
        <v>253</v>
      </c>
      <c r="C7" s="9" t="s">
        <v>254</v>
      </c>
      <c r="D7" s="9" t="s">
        <v>255</v>
      </c>
      <c r="E7" s="9" t="s">
        <v>53</v>
      </c>
      <c r="F7" s="11" t="s">
        <v>53</v>
      </c>
    </row>
    <row r="8" spans="1:6" x14ac:dyDescent="0.25">
      <c r="A8" s="10">
        <v>2</v>
      </c>
      <c r="B8" s="9" t="s">
        <v>256</v>
      </c>
      <c r="C8" s="9" t="s">
        <v>257</v>
      </c>
      <c r="D8" s="9" t="s">
        <v>258</v>
      </c>
      <c r="E8" s="9" t="s">
        <v>53</v>
      </c>
      <c r="F8" s="11" t="s">
        <v>53</v>
      </c>
    </row>
    <row r="9" spans="1:6" x14ac:dyDescent="0.25">
      <c r="A9" s="10">
        <v>3</v>
      </c>
      <c r="B9" s="9" t="s">
        <v>259</v>
      </c>
      <c r="C9" s="9" t="s">
        <v>260</v>
      </c>
      <c r="D9" s="9" t="s">
        <v>261</v>
      </c>
      <c r="E9" s="9" t="s">
        <v>53</v>
      </c>
      <c r="F9" s="11" t="s">
        <v>53</v>
      </c>
    </row>
    <row r="10" spans="1:6" x14ac:dyDescent="0.25">
      <c r="A10" s="10">
        <v>4</v>
      </c>
      <c r="B10" s="9" t="s">
        <v>101</v>
      </c>
      <c r="C10" s="9" t="s">
        <v>262</v>
      </c>
      <c r="D10" s="9" t="s">
        <v>263</v>
      </c>
      <c r="E10" s="9" t="s">
        <v>53</v>
      </c>
      <c r="F10" s="11" t="s">
        <v>53</v>
      </c>
    </row>
    <row r="11" spans="1:6" x14ac:dyDescent="0.25">
      <c r="A11" s="10">
        <v>5</v>
      </c>
      <c r="B11" s="9" t="s">
        <v>264</v>
      </c>
      <c r="C11" s="9" t="s">
        <v>265</v>
      </c>
      <c r="D11" s="9" t="s">
        <v>266</v>
      </c>
      <c r="E11" s="9" t="s">
        <v>53</v>
      </c>
      <c r="F11" s="11" t="s">
        <v>53</v>
      </c>
    </row>
    <row r="12" spans="1:6" x14ac:dyDescent="0.25">
      <c r="A12" s="10">
        <v>6</v>
      </c>
      <c r="B12" s="9" t="s">
        <v>267</v>
      </c>
      <c r="C12" s="9" t="s">
        <v>268</v>
      </c>
      <c r="D12" s="9" t="s">
        <v>269</v>
      </c>
      <c r="E12" s="9" t="s">
        <v>53</v>
      </c>
      <c r="F12" s="11" t="s">
        <v>53</v>
      </c>
    </row>
  </sheetData>
  <mergeCells count="4">
    <mergeCell ref="B1:F1"/>
    <mergeCell ref="B2:F2"/>
    <mergeCell ref="B3:F3"/>
    <mergeCell ref="B4:F4"/>
  </mergeCells>
  <conditionalFormatting sqref="F7:F12">
    <cfRule type="cellIs" dxfId="24" priority="1" operator="equal">
      <formula>"PASS"</formula>
    </cfRule>
    <cfRule type="cellIs" dxfId="25" priority="2" operator="equal">
      <formula>"FAIL"</formula>
    </cfRule>
  </conditionalFormatting>
  <dataValidations count="2">
    <dataValidation type="list" allowBlank="1" sqref="F10:F12">
      <formula1>"PASS,FAIL,BLOCKED,N/A"</formula1>
    </dataValidation>
    <dataValidation type="list" allowBlank="1" sqref="F7:F12">
      <formula1>"PASS,FAIL,BLOCKED,N/A"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6" customWidth="1"/>
    <col min="3" max="4" width="52" customWidth="1"/>
    <col min="5" max="5" width="30" customWidth="1"/>
    <col min="6" max="6" width="12" customWidth="1"/>
  </cols>
  <sheetData>
    <row r="1" spans="1:6" x14ac:dyDescent="0.25">
      <c r="A1" s="8" t="s">
        <v>49</v>
      </c>
      <c r="B1" s="9" t="s">
        <v>33</v>
      </c>
      <c r="C1" s="9"/>
      <c r="D1" s="9"/>
      <c r="E1" s="9"/>
      <c r="F1" s="9"/>
    </row>
    <row r="2" ht="90" customHeight="1" spans="1:6" x14ac:dyDescent="0.25">
      <c r="A2" s="8" t="s">
        <v>50</v>
      </c>
      <c r="B2" s="9" t="s">
        <v>270</v>
      </c>
      <c r="C2" s="9"/>
      <c r="D2" s="9"/>
      <c r="E2" s="9"/>
      <c r="F2" s="9"/>
    </row>
    <row r="3" spans="1:6" x14ac:dyDescent="0.25">
      <c r="A3" s="8" t="s">
        <v>52</v>
      </c>
      <c r="B3" s="9" t="s">
        <v>53</v>
      </c>
      <c r="C3" s="9"/>
      <c r="D3" s="9"/>
      <c r="E3" s="9"/>
      <c r="F3" s="9"/>
    </row>
    <row r="4" spans="1:6" x14ac:dyDescent="0.25">
      <c r="A4" s="8" t="s">
        <v>54</v>
      </c>
      <c r="B4" s="9" t="s">
        <v>53</v>
      </c>
      <c r="C4" s="9"/>
      <c r="D4" s="9"/>
      <c r="E4" s="9"/>
      <c r="F4" s="9"/>
    </row>
    <row r="6" spans="1:6" x14ac:dyDescent="0.25">
      <c r="A6" s="1" t="s">
        <v>55</v>
      </c>
      <c r="B6" s="1" t="s">
        <v>56</v>
      </c>
      <c r="C6" s="1" t="s">
        <v>57</v>
      </c>
      <c r="D6" s="1" t="s">
        <v>58</v>
      </c>
      <c r="E6" s="1" t="s">
        <v>59</v>
      </c>
      <c r="F6" s="1" t="s">
        <v>60</v>
      </c>
    </row>
    <row r="7" spans="1:6" x14ac:dyDescent="0.25">
      <c r="A7" s="10">
        <v>1</v>
      </c>
      <c r="B7" s="9" t="s">
        <v>234</v>
      </c>
      <c r="C7" s="9" t="s">
        <v>271</v>
      </c>
      <c r="D7" s="9" t="s">
        <v>272</v>
      </c>
      <c r="E7" s="9" t="s">
        <v>53</v>
      </c>
      <c r="F7" s="11" t="s">
        <v>53</v>
      </c>
    </row>
    <row r="8" spans="1:6" x14ac:dyDescent="0.25">
      <c r="A8" s="10">
        <v>2</v>
      </c>
      <c r="B8" s="9" t="s">
        <v>273</v>
      </c>
      <c r="C8" s="9" t="s">
        <v>274</v>
      </c>
      <c r="D8" s="9" t="s">
        <v>275</v>
      </c>
      <c r="E8" s="9" t="s">
        <v>53</v>
      </c>
      <c r="F8" s="11" t="s">
        <v>53</v>
      </c>
    </row>
    <row r="9" spans="1:6" x14ac:dyDescent="0.25">
      <c r="A9" s="10">
        <v>3</v>
      </c>
      <c r="B9" s="9" t="s">
        <v>276</v>
      </c>
      <c r="C9" s="9" t="s">
        <v>277</v>
      </c>
      <c r="D9" s="9" t="s">
        <v>278</v>
      </c>
      <c r="E9" s="9" t="s">
        <v>53</v>
      </c>
      <c r="F9" s="11" t="s">
        <v>53</v>
      </c>
    </row>
    <row r="10" spans="1:6" x14ac:dyDescent="0.25">
      <c r="A10" s="10">
        <v>4</v>
      </c>
      <c r="B10" s="9" t="s">
        <v>279</v>
      </c>
      <c r="C10" s="9" t="s">
        <v>280</v>
      </c>
      <c r="D10" s="9" t="s">
        <v>281</v>
      </c>
      <c r="E10" s="9" t="s">
        <v>53</v>
      </c>
      <c r="F10" s="11" t="s">
        <v>53</v>
      </c>
    </row>
  </sheetData>
  <mergeCells count="4">
    <mergeCell ref="B1:F1"/>
    <mergeCell ref="B2:F2"/>
    <mergeCell ref="B3:F3"/>
    <mergeCell ref="B4:F4"/>
  </mergeCells>
  <conditionalFormatting sqref="F7:F10">
    <cfRule type="cellIs" dxfId="26" priority="1" operator="equal">
      <formula>"PASS"</formula>
    </cfRule>
    <cfRule type="cellIs" dxfId="27" priority="2" operator="equal">
      <formula>"FAIL"</formula>
    </cfRule>
  </conditionalFormatting>
  <dataValidations count="2">
    <dataValidation type="list" allowBlank="1" sqref="F10">
      <formula1>"PASS,FAIL,BLOCKED,N/A"</formula1>
    </dataValidation>
    <dataValidation type="list" allowBlank="1" sqref="F7:F10">
      <formula1>"PASS,FAIL,BLOCKED,N/A"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6" customWidth="1"/>
    <col min="3" max="4" width="52" customWidth="1"/>
    <col min="5" max="5" width="30" customWidth="1"/>
    <col min="6" max="6" width="12" customWidth="1"/>
  </cols>
  <sheetData>
    <row r="1" spans="1:6" x14ac:dyDescent="0.25">
      <c r="A1" s="8" t="s">
        <v>49</v>
      </c>
      <c r="B1" s="9" t="s">
        <v>35</v>
      </c>
      <c r="C1" s="9"/>
      <c r="D1" s="9"/>
      <c r="E1" s="9"/>
      <c r="F1" s="9"/>
    </row>
    <row r="2" ht="90" customHeight="1" spans="1:6" x14ac:dyDescent="0.25">
      <c r="A2" s="8" t="s">
        <v>50</v>
      </c>
      <c r="B2" s="9" t="s">
        <v>282</v>
      </c>
      <c r="C2" s="9"/>
      <c r="D2" s="9"/>
      <c r="E2" s="9"/>
      <c r="F2" s="9"/>
    </row>
    <row r="3" spans="1:6" x14ac:dyDescent="0.25">
      <c r="A3" s="8" t="s">
        <v>52</v>
      </c>
      <c r="B3" s="9" t="s">
        <v>53</v>
      </c>
      <c r="C3" s="9"/>
      <c r="D3" s="9"/>
      <c r="E3" s="9"/>
      <c r="F3" s="9"/>
    </row>
    <row r="4" spans="1:6" x14ac:dyDescent="0.25">
      <c r="A4" s="8" t="s">
        <v>54</v>
      </c>
      <c r="B4" s="9" t="s">
        <v>53</v>
      </c>
      <c r="C4" s="9"/>
      <c r="D4" s="9"/>
      <c r="E4" s="9"/>
      <c r="F4" s="9"/>
    </row>
    <row r="6" spans="1:6" x14ac:dyDescent="0.25">
      <c r="A6" s="1" t="s">
        <v>55</v>
      </c>
      <c r="B6" s="1" t="s">
        <v>56</v>
      </c>
      <c r="C6" s="1" t="s">
        <v>57</v>
      </c>
      <c r="D6" s="1" t="s">
        <v>58</v>
      </c>
      <c r="E6" s="1" t="s">
        <v>59</v>
      </c>
      <c r="F6" s="1" t="s">
        <v>60</v>
      </c>
    </row>
    <row r="7" spans="1:6" x14ac:dyDescent="0.25">
      <c r="A7" s="10">
        <v>1</v>
      </c>
      <c r="B7" s="9" t="s">
        <v>283</v>
      </c>
      <c r="C7" s="9" t="s">
        <v>284</v>
      </c>
      <c r="D7" s="9" t="s">
        <v>285</v>
      </c>
      <c r="E7" s="9" t="s">
        <v>53</v>
      </c>
      <c r="F7" s="11" t="s">
        <v>53</v>
      </c>
    </row>
    <row r="8" spans="1:6" x14ac:dyDescent="0.25">
      <c r="A8" s="10">
        <v>2</v>
      </c>
      <c r="B8" s="9" t="s">
        <v>286</v>
      </c>
      <c r="C8" s="9" t="s">
        <v>287</v>
      </c>
      <c r="D8" s="9" t="s">
        <v>288</v>
      </c>
      <c r="E8" s="9" t="s">
        <v>53</v>
      </c>
      <c r="F8" s="11" t="s">
        <v>53</v>
      </c>
    </row>
    <row r="9" spans="1:6" x14ac:dyDescent="0.25">
      <c r="A9" s="10">
        <v>3</v>
      </c>
      <c r="B9" s="9" t="s">
        <v>279</v>
      </c>
      <c r="C9" s="9" t="s">
        <v>289</v>
      </c>
      <c r="D9" s="9" t="s">
        <v>290</v>
      </c>
      <c r="E9" s="9" t="s">
        <v>53</v>
      </c>
      <c r="F9" s="11" t="s">
        <v>53</v>
      </c>
    </row>
  </sheetData>
  <mergeCells count="4">
    <mergeCell ref="B1:F1"/>
    <mergeCell ref="B2:F2"/>
    <mergeCell ref="B3:F3"/>
    <mergeCell ref="B4:F4"/>
  </mergeCells>
  <conditionalFormatting sqref="F7:F9">
    <cfRule type="cellIs" dxfId="28" priority="1" operator="equal">
      <formula>"PASS"</formula>
    </cfRule>
    <cfRule type="cellIs" dxfId="29" priority="2" operator="equal">
      <formula>"FAIL"</formula>
    </cfRule>
  </conditionalFormatting>
  <dataValidations count="1">
    <dataValidation type="list" allowBlank="1" sqref="F7:F9">
      <formula1>"PASS,FAIL,BLOCKED,N/A"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6" customWidth="1"/>
    <col min="3" max="4" width="52" customWidth="1"/>
    <col min="5" max="5" width="30" customWidth="1"/>
    <col min="6" max="6" width="12" customWidth="1"/>
  </cols>
  <sheetData>
    <row r="1" spans="1:6" x14ac:dyDescent="0.25">
      <c r="A1" s="8" t="s">
        <v>49</v>
      </c>
      <c r="B1" s="9" t="s">
        <v>37</v>
      </c>
      <c r="C1" s="9"/>
      <c r="D1" s="9"/>
      <c r="E1" s="9"/>
      <c r="F1" s="9"/>
    </row>
    <row r="2" ht="90" customHeight="1" spans="1:6" x14ac:dyDescent="0.25">
      <c r="A2" s="8" t="s">
        <v>50</v>
      </c>
      <c r="B2" s="9" t="s">
        <v>291</v>
      </c>
      <c r="C2" s="9"/>
      <c r="D2" s="9"/>
      <c r="E2" s="9"/>
      <c r="F2" s="9"/>
    </row>
    <row r="3" spans="1:6" x14ac:dyDescent="0.25">
      <c r="A3" s="8" t="s">
        <v>52</v>
      </c>
      <c r="B3" s="9" t="s">
        <v>53</v>
      </c>
      <c r="C3" s="9"/>
      <c r="D3" s="9"/>
      <c r="E3" s="9"/>
      <c r="F3" s="9"/>
    </row>
    <row r="4" spans="1:6" x14ac:dyDescent="0.25">
      <c r="A4" s="8" t="s">
        <v>54</v>
      </c>
      <c r="B4" s="9" t="s">
        <v>53</v>
      </c>
      <c r="C4" s="9"/>
      <c r="D4" s="9"/>
      <c r="E4" s="9"/>
      <c r="F4" s="9"/>
    </row>
    <row r="6" spans="1:6" x14ac:dyDescent="0.25">
      <c r="A6" s="1" t="s">
        <v>55</v>
      </c>
      <c r="B6" s="1" t="s">
        <v>56</v>
      </c>
      <c r="C6" s="1" t="s">
        <v>57</v>
      </c>
      <c r="D6" s="1" t="s">
        <v>58</v>
      </c>
      <c r="E6" s="1" t="s">
        <v>59</v>
      </c>
      <c r="F6" s="1" t="s">
        <v>60</v>
      </c>
    </row>
    <row r="7" spans="1:6" x14ac:dyDescent="0.25">
      <c r="A7" s="10">
        <v>1</v>
      </c>
      <c r="B7" s="9" t="s">
        <v>283</v>
      </c>
      <c r="C7" s="9" t="s">
        <v>292</v>
      </c>
      <c r="D7" s="9" t="s">
        <v>293</v>
      </c>
      <c r="E7" s="9" t="s">
        <v>53</v>
      </c>
      <c r="F7" s="11" t="s">
        <v>53</v>
      </c>
    </row>
    <row r="8" spans="1:6" x14ac:dyDescent="0.25">
      <c r="A8" s="10">
        <v>2</v>
      </c>
      <c r="B8" s="9" t="s">
        <v>294</v>
      </c>
      <c r="C8" s="9" t="s">
        <v>295</v>
      </c>
      <c r="D8" s="9" t="s">
        <v>296</v>
      </c>
      <c r="E8" s="9" t="s">
        <v>53</v>
      </c>
      <c r="F8" s="11" t="s">
        <v>53</v>
      </c>
    </row>
    <row r="9" spans="1:6" x14ac:dyDescent="0.25">
      <c r="A9" s="10">
        <v>3</v>
      </c>
      <c r="B9" s="9" t="s">
        <v>264</v>
      </c>
      <c r="C9" s="9" t="s">
        <v>297</v>
      </c>
      <c r="D9" s="9" t="s">
        <v>298</v>
      </c>
      <c r="E9" s="9" t="s">
        <v>53</v>
      </c>
      <c r="F9" s="11" t="s">
        <v>53</v>
      </c>
    </row>
  </sheetData>
  <mergeCells count="4">
    <mergeCell ref="B1:F1"/>
    <mergeCell ref="B2:F2"/>
    <mergeCell ref="B3:F3"/>
    <mergeCell ref="B4:F4"/>
  </mergeCells>
  <conditionalFormatting sqref="F7:F9">
    <cfRule type="cellIs" dxfId="30" priority="1" operator="equal">
      <formula>"PASS"</formula>
    </cfRule>
    <cfRule type="cellIs" dxfId="31" priority="2" operator="equal">
      <formula>"FAIL"</formula>
    </cfRule>
  </conditionalFormatting>
  <dataValidations count="1">
    <dataValidation type="list" allowBlank="1" sqref="F7:F9">
      <formula1>"PASS,FAIL,BLOCKED,N/A"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6" customWidth="1"/>
    <col min="3" max="4" width="52" customWidth="1"/>
    <col min="5" max="5" width="30" customWidth="1"/>
    <col min="6" max="6" width="12" customWidth="1"/>
  </cols>
  <sheetData>
    <row r="1" spans="1:6" x14ac:dyDescent="0.25">
      <c r="A1" s="8" t="s">
        <v>49</v>
      </c>
      <c r="B1" s="9" t="s">
        <v>39</v>
      </c>
      <c r="C1" s="9"/>
      <c r="D1" s="9"/>
      <c r="E1" s="9"/>
      <c r="F1" s="9"/>
    </row>
    <row r="2" ht="90" customHeight="1" spans="1:6" x14ac:dyDescent="0.25">
      <c r="A2" s="8" t="s">
        <v>50</v>
      </c>
      <c r="B2" s="9" t="s">
        <v>299</v>
      </c>
      <c r="C2" s="9"/>
      <c r="D2" s="9"/>
      <c r="E2" s="9"/>
      <c r="F2" s="9"/>
    </row>
    <row r="3" spans="1:6" x14ac:dyDescent="0.25">
      <c r="A3" s="8" t="s">
        <v>52</v>
      </c>
      <c r="B3" s="9" t="s">
        <v>53</v>
      </c>
      <c r="C3" s="9"/>
      <c r="D3" s="9"/>
      <c r="E3" s="9"/>
      <c r="F3" s="9"/>
    </row>
    <row r="4" spans="1:6" x14ac:dyDescent="0.25">
      <c r="A4" s="8" t="s">
        <v>54</v>
      </c>
      <c r="B4" s="9" t="s">
        <v>53</v>
      </c>
      <c r="C4" s="9"/>
      <c r="D4" s="9"/>
      <c r="E4" s="9"/>
      <c r="F4" s="9"/>
    </row>
    <row r="6" spans="1:6" x14ac:dyDescent="0.25">
      <c r="A6" s="1" t="s">
        <v>55</v>
      </c>
      <c r="B6" s="1" t="s">
        <v>56</v>
      </c>
      <c r="C6" s="1" t="s">
        <v>57</v>
      </c>
      <c r="D6" s="1" t="s">
        <v>58</v>
      </c>
      <c r="E6" s="1" t="s">
        <v>59</v>
      </c>
      <c r="F6" s="1" t="s">
        <v>60</v>
      </c>
    </row>
    <row r="7" spans="1:6" x14ac:dyDescent="0.25">
      <c r="A7" s="10">
        <v>1</v>
      </c>
      <c r="B7" s="9" t="s">
        <v>234</v>
      </c>
      <c r="C7" s="9" t="s">
        <v>300</v>
      </c>
      <c r="D7" s="9" t="s">
        <v>301</v>
      </c>
      <c r="E7" s="9" t="s">
        <v>53</v>
      </c>
      <c r="F7" s="11" t="s">
        <v>53</v>
      </c>
    </row>
    <row r="8" spans="1:6" x14ac:dyDescent="0.25">
      <c r="A8" s="10">
        <v>2</v>
      </c>
      <c r="B8" s="9" t="s">
        <v>302</v>
      </c>
      <c r="C8" s="9" t="s">
        <v>303</v>
      </c>
      <c r="D8" s="9" t="s">
        <v>304</v>
      </c>
      <c r="E8" s="9" t="s">
        <v>53</v>
      </c>
      <c r="F8" s="11" t="s">
        <v>53</v>
      </c>
    </row>
    <row r="9" spans="1:6" x14ac:dyDescent="0.25">
      <c r="A9" s="10">
        <v>3</v>
      </c>
      <c r="B9" s="9" t="s">
        <v>279</v>
      </c>
      <c r="C9" s="9" t="s">
        <v>305</v>
      </c>
      <c r="D9" s="9" t="s">
        <v>306</v>
      </c>
      <c r="E9" s="9" t="s">
        <v>53</v>
      </c>
      <c r="F9" s="11" t="s">
        <v>53</v>
      </c>
    </row>
    <row r="10" spans="1:6" x14ac:dyDescent="0.25">
      <c r="A10" s="10">
        <v>4</v>
      </c>
      <c r="B10" s="9" t="s">
        <v>286</v>
      </c>
      <c r="C10" s="9" t="s">
        <v>307</v>
      </c>
      <c r="D10" s="9" t="s">
        <v>308</v>
      </c>
      <c r="E10" s="9" t="s">
        <v>53</v>
      </c>
      <c r="F10" s="11" t="s">
        <v>53</v>
      </c>
    </row>
  </sheetData>
  <mergeCells count="4">
    <mergeCell ref="B1:F1"/>
    <mergeCell ref="B2:F2"/>
    <mergeCell ref="B3:F3"/>
    <mergeCell ref="B4:F4"/>
  </mergeCells>
  <conditionalFormatting sqref="F7:F10">
    <cfRule type="cellIs" dxfId="32" priority="1" operator="equal">
      <formula>"PASS"</formula>
    </cfRule>
    <cfRule type="cellIs" dxfId="33" priority="2" operator="equal">
      <formula>"FAIL"</formula>
    </cfRule>
  </conditionalFormatting>
  <dataValidations count="2">
    <dataValidation type="list" allowBlank="1" sqref="F10">
      <formula1>"PASS,FAIL,BLOCKED,N/A"</formula1>
    </dataValidation>
    <dataValidation type="list" allowBlank="1" sqref="F7:F10">
      <formula1>"PASS,FAIL,BLOCKED,N/A"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6" customWidth="1"/>
    <col min="3" max="4" width="52" customWidth="1"/>
    <col min="5" max="5" width="30" customWidth="1"/>
    <col min="6" max="6" width="12" customWidth="1"/>
  </cols>
  <sheetData>
    <row r="1" spans="1:6" x14ac:dyDescent="0.25">
      <c r="A1" s="8" t="s">
        <v>49</v>
      </c>
      <c r="B1" s="9" t="s">
        <v>41</v>
      </c>
      <c r="C1" s="9"/>
      <c r="D1" s="9"/>
      <c r="E1" s="9"/>
      <c r="F1" s="9"/>
    </row>
    <row r="2" ht="90" customHeight="1" spans="1:6" x14ac:dyDescent="0.25">
      <c r="A2" s="8" t="s">
        <v>50</v>
      </c>
      <c r="B2" s="9" t="s">
        <v>309</v>
      </c>
      <c r="C2" s="9"/>
      <c r="D2" s="9"/>
      <c r="E2" s="9"/>
      <c r="F2" s="9"/>
    </row>
    <row r="3" spans="1:6" x14ac:dyDescent="0.25">
      <c r="A3" s="8" t="s">
        <v>52</v>
      </c>
      <c r="B3" s="9" t="s">
        <v>53</v>
      </c>
      <c r="C3" s="9"/>
      <c r="D3" s="9"/>
      <c r="E3" s="9"/>
      <c r="F3" s="9"/>
    </row>
    <row r="4" spans="1:6" x14ac:dyDescent="0.25">
      <c r="A4" s="8" t="s">
        <v>54</v>
      </c>
      <c r="B4" s="9" t="s">
        <v>53</v>
      </c>
      <c r="C4" s="9"/>
      <c r="D4" s="9"/>
      <c r="E4" s="9"/>
      <c r="F4" s="9"/>
    </row>
    <row r="6" spans="1:6" x14ac:dyDescent="0.25">
      <c r="A6" s="1" t="s">
        <v>55</v>
      </c>
      <c r="B6" s="1" t="s">
        <v>56</v>
      </c>
      <c r="C6" s="1" t="s">
        <v>57</v>
      </c>
      <c r="D6" s="1" t="s">
        <v>58</v>
      </c>
      <c r="E6" s="1" t="s">
        <v>59</v>
      </c>
      <c r="F6" s="1" t="s">
        <v>60</v>
      </c>
    </row>
    <row r="7" spans="1:6" x14ac:dyDescent="0.25">
      <c r="A7" s="10">
        <v>1</v>
      </c>
      <c r="B7" s="9" t="s">
        <v>310</v>
      </c>
      <c r="C7" s="9" t="s">
        <v>311</v>
      </c>
      <c r="D7" s="9" t="s">
        <v>312</v>
      </c>
      <c r="E7" s="9" t="s">
        <v>53</v>
      </c>
      <c r="F7" s="11" t="s">
        <v>53</v>
      </c>
    </row>
    <row r="8" spans="1:6" x14ac:dyDescent="0.25">
      <c r="A8" s="10">
        <v>2</v>
      </c>
      <c r="B8" s="9" t="s">
        <v>313</v>
      </c>
      <c r="C8" s="9" t="s">
        <v>314</v>
      </c>
      <c r="D8" s="9" t="s">
        <v>315</v>
      </c>
      <c r="E8" s="9" t="s">
        <v>53</v>
      </c>
      <c r="F8" s="11" t="s">
        <v>53</v>
      </c>
    </row>
    <row r="9" spans="1:6" x14ac:dyDescent="0.25">
      <c r="A9" s="10">
        <v>3</v>
      </c>
      <c r="B9" s="9" t="s">
        <v>316</v>
      </c>
      <c r="C9" s="9" t="s">
        <v>317</v>
      </c>
      <c r="D9" s="9" t="s">
        <v>318</v>
      </c>
      <c r="E9" s="9" t="s">
        <v>53</v>
      </c>
      <c r="F9" s="11" t="s">
        <v>53</v>
      </c>
    </row>
    <row r="10" spans="1:6" x14ac:dyDescent="0.25">
      <c r="A10" s="10">
        <v>4</v>
      </c>
      <c r="B10" s="9" t="s">
        <v>319</v>
      </c>
      <c r="C10" s="9" t="s">
        <v>320</v>
      </c>
      <c r="D10" s="9" t="s">
        <v>321</v>
      </c>
      <c r="E10" s="9" t="s">
        <v>53</v>
      </c>
      <c r="F10" s="11" t="s">
        <v>53</v>
      </c>
    </row>
    <row r="11" spans="1:6" x14ac:dyDescent="0.25">
      <c r="A11" s="10">
        <v>5</v>
      </c>
      <c r="B11" s="9" t="s">
        <v>322</v>
      </c>
      <c r="C11" s="9" t="s">
        <v>323</v>
      </c>
      <c r="D11" s="9" t="s">
        <v>324</v>
      </c>
      <c r="E11" s="9" t="s">
        <v>53</v>
      </c>
      <c r="F11" s="11" t="s">
        <v>53</v>
      </c>
    </row>
  </sheetData>
  <mergeCells count="4">
    <mergeCell ref="B1:F1"/>
    <mergeCell ref="B2:F2"/>
    <mergeCell ref="B3:F3"/>
    <mergeCell ref="B4:F4"/>
  </mergeCells>
  <conditionalFormatting sqref="F7:F11">
    <cfRule type="cellIs" dxfId="34" priority="1" operator="equal">
      <formula>"PASS"</formula>
    </cfRule>
    <cfRule type="cellIs" dxfId="35" priority="2" operator="equal">
      <formula>"FAIL"</formula>
    </cfRule>
  </conditionalFormatting>
  <dataValidations count="2">
    <dataValidation type="list" allowBlank="1" sqref="F10:F11">
      <formula1>"PASS,FAIL,BLOCKED,N/A"</formula1>
    </dataValidation>
    <dataValidation type="list" allowBlank="1" sqref="F7:F11">
      <formula1>"PASS,FAIL,BLOCKED,N/A"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6" customWidth="1"/>
    <col min="3" max="4" width="52" customWidth="1"/>
    <col min="5" max="5" width="30" customWidth="1"/>
    <col min="6" max="6" width="12" customWidth="1"/>
  </cols>
  <sheetData>
    <row r="1" spans="1:6" x14ac:dyDescent="0.25">
      <c r="A1" s="8" t="s">
        <v>49</v>
      </c>
      <c r="B1" s="9" t="s">
        <v>43</v>
      </c>
      <c r="C1" s="9"/>
      <c r="D1" s="9"/>
      <c r="E1" s="9"/>
      <c r="F1" s="9"/>
    </row>
    <row r="2" ht="90" customHeight="1" spans="1:6" x14ac:dyDescent="0.25">
      <c r="A2" s="8" t="s">
        <v>50</v>
      </c>
      <c r="B2" s="9" t="s">
        <v>325</v>
      </c>
      <c r="C2" s="9"/>
      <c r="D2" s="9"/>
      <c r="E2" s="9"/>
      <c r="F2" s="9"/>
    </row>
    <row r="3" spans="1:6" x14ac:dyDescent="0.25">
      <c r="A3" s="8" t="s">
        <v>52</v>
      </c>
      <c r="B3" s="9" t="s">
        <v>53</v>
      </c>
      <c r="C3" s="9"/>
      <c r="D3" s="9"/>
      <c r="E3" s="9"/>
      <c r="F3" s="9"/>
    </row>
    <row r="4" spans="1:6" x14ac:dyDescent="0.25">
      <c r="A4" s="8" t="s">
        <v>54</v>
      </c>
      <c r="B4" s="9" t="s">
        <v>53</v>
      </c>
      <c r="C4" s="9"/>
      <c r="D4" s="9"/>
      <c r="E4" s="9"/>
      <c r="F4" s="9"/>
    </row>
    <row r="6" spans="1:6" x14ac:dyDescent="0.25">
      <c r="A6" s="1" t="s">
        <v>55</v>
      </c>
      <c r="B6" s="1" t="s">
        <v>56</v>
      </c>
      <c r="C6" s="1" t="s">
        <v>57</v>
      </c>
      <c r="D6" s="1" t="s">
        <v>58</v>
      </c>
      <c r="E6" s="1" t="s">
        <v>59</v>
      </c>
      <c r="F6" s="1" t="s">
        <v>60</v>
      </c>
    </row>
    <row r="7" spans="1:6" x14ac:dyDescent="0.25">
      <c r="A7" s="10">
        <v>1</v>
      </c>
      <c r="B7" s="9" t="s">
        <v>326</v>
      </c>
      <c r="C7" s="9" t="s">
        <v>327</v>
      </c>
      <c r="D7" s="9" t="s">
        <v>328</v>
      </c>
      <c r="E7" s="9" t="s">
        <v>53</v>
      </c>
      <c r="F7" s="11" t="s">
        <v>53</v>
      </c>
    </row>
    <row r="8" spans="1:6" x14ac:dyDescent="0.25">
      <c r="A8" s="10">
        <v>2</v>
      </c>
      <c r="B8" s="9" t="s">
        <v>329</v>
      </c>
      <c r="C8" s="9" t="s">
        <v>330</v>
      </c>
      <c r="D8" s="9" t="s">
        <v>331</v>
      </c>
      <c r="E8" s="9" t="s">
        <v>53</v>
      </c>
      <c r="F8" s="11" t="s">
        <v>53</v>
      </c>
    </row>
    <row r="9" spans="1:6" x14ac:dyDescent="0.25">
      <c r="A9" s="10">
        <v>3</v>
      </c>
      <c r="B9" s="9" t="s">
        <v>332</v>
      </c>
      <c r="C9" s="9" t="s">
        <v>333</v>
      </c>
      <c r="D9" s="9" t="s">
        <v>334</v>
      </c>
      <c r="E9" s="9" t="s">
        <v>53</v>
      </c>
      <c r="F9" s="11" t="s">
        <v>53</v>
      </c>
    </row>
    <row r="10" spans="1:6" x14ac:dyDescent="0.25">
      <c r="A10" s="10">
        <v>4</v>
      </c>
      <c r="B10" s="9" t="s">
        <v>246</v>
      </c>
      <c r="C10" s="9" t="s">
        <v>335</v>
      </c>
      <c r="D10" s="9" t="s">
        <v>336</v>
      </c>
      <c r="E10" s="9" t="s">
        <v>53</v>
      </c>
      <c r="F10" s="11" t="s">
        <v>53</v>
      </c>
    </row>
    <row r="11" spans="1:6" x14ac:dyDescent="0.25">
      <c r="A11" s="10">
        <v>5</v>
      </c>
      <c r="B11" s="9" t="s">
        <v>337</v>
      </c>
      <c r="C11" s="9" t="s">
        <v>338</v>
      </c>
      <c r="D11" s="9" t="s">
        <v>339</v>
      </c>
      <c r="E11" s="9" t="s">
        <v>53</v>
      </c>
      <c r="F11" s="11" t="s">
        <v>53</v>
      </c>
    </row>
  </sheetData>
  <mergeCells count="4">
    <mergeCell ref="B1:F1"/>
    <mergeCell ref="B2:F2"/>
    <mergeCell ref="B3:F3"/>
    <mergeCell ref="B4:F4"/>
  </mergeCells>
  <conditionalFormatting sqref="F7:F11">
    <cfRule type="cellIs" dxfId="36" priority="1" operator="equal">
      <formula>"PASS"</formula>
    </cfRule>
    <cfRule type="cellIs" dxfId="37" priority="2" operator="equal">
      <formula>"FAIL"</formula>
    </cfRule>
  </conditionalFormatting>
  <dataValidations count="2">
    <dataValidation type="list" allowBlank="1" sqref="F10:F11">
      <formula1>"PASS,FAIL,BLOCKED,N/A"</formula1>
    </dataValidation>
    <dataValidation type="list" allowBlank="1" sqref="F7:F11">
      <formula1>"PASS,FAIL,BLOCKED,N/A"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6" customWidth="1"/>
    <col min="3" max="4" width="52" customWidth="1"/>
    <col min="5" max="5" width="30" customWidth="1"/>
    <col min="6" max="6" width="12" customWidth="1"/>
  </cols>
  <sheetData>
    <row r="1" spans="1:6" x14ac:dyDescent="0.25">
      <c r="A1" s="8" t="s">
        <v>49</v>
      </c>
      <c r="B1" s="9" t="s">
        <v>45</v>
      </c>
      <c r="C1" s="9"/>
      <c r="D1" s="9"/>
      <c r="E1" s="9"/>
      <c r="F1" s="9"/>
    </row>
    <row r="2" ht="90" customHeight="1" spans="1:6" x14ac:dyDescent="0.25">
      <c r="A2" s="8" t="s">
        <v>50</v>
      </c>
      <c r="B2" s="9" t="s">
        <v>340</v>
      </c>
      <c r="C2" s="9"/>
      <c r="D2" s="9"/>
      <c r="E2" s="9"/>
      <c r="F2" s="9"/>
    </row>
    <row r="3" spans="1:6" x14ac:dyDescent="0.25">
      <c r="A3" s="8" t="s">
        <v>52</v>
      </c>
      <c r="B3" s="9" t="s">
        <v>53</v>
      </c>
      <c r="C3" s="9"/>
      <c r="D3" s="9"/>
      <c r="E3" s="9"/>
      <c r="F3" s="9"/>
    </row>
    <row r="4" spans="1:6" x14ac:dyDescent="0.25">
      <c r="A4" s="8" t="s">
        <v>54</v>
      </c>
      <c r="B4" s="9" t="s">
        <v>53</v>
      </c>
      <c r="C4" s="9"/>
      <c r="D4" s="9"/>
      <c r="E4" s="9"/>
      <c r="F4" s="9"/>
    </row>
    <row r="6" spans="1:6" x14ac:dyDescent="0.25">
      <c r="A6" s="1" t="s">
        <v>55</v>
      </c>
      <c r="B6" s="1" t="s">
        <v>56</v>
      </c>
      <c r="C6" s="1" t="s">
        <v>57</v>
      </c>
      <c r="D6" s="1" t="s">
        <v>58</v>
      </c>
      <c r="E6" s="1" t="s">
        <v>59</v>
      </c>
      <c r="F6" s="1" t="s">
        <v>60</v>
      </c>
    </row>
    <row r="7" spans="1:6" x14ac:dyDescent="0.25">
      <c r="A7" s="10">
        <v>1</v>
      </c>
      <c r="B7" s="9" t="s">
        <v>341</v>
      </c>
      <c r="C7" s="9" t="s">
        <v>342</v>
      </c>
      <c r="D7" s="9" t="s">
        <v>343</v>
      </c>
      <c r="E7" s="9" t="s">
        <v>53</v>
      </c>
      <c r="F7" s="11" t="s">
        <v>53</v>
      </c>
    </row>
    <row r="8" spans="1:6" x14ac:dyDescent="0.25">
      <c r="A8" s="10">
        <v>2</v>
      </c>
      <c r="B8" s="9"/>
      <c r="C8" s="9" t="s">
        <v>344</v>
      </c>
      <c r="D8" s="9" t="s">
        <v>345</v>
      </c>
      <c r="E8" s="9" t="s">
        <v>53</v>
      </c>
      <c r="F8" s="11" t="s">
        <v>53</v>
      </c>
    </row>
    <row r="9" spans="1:6" x14ac:dyDescent="0.25">
      <c r="A9" s="10">
        <v>3</v>
      </c>
      <c r="B9" s="9"/>
      <c r="C9" s="9" t="s">
        <v>346</v>
      </c>
      <c r="D9" s="9" t="s">
        <v>347</v>
      </c>
      <c r="E9" s="9" t="s">
        <v>53</v>
      </c>
      <c r="F9" s="11" t="s">
        <v>53</v>
      </c>
    </row>
    <row r="10" spans="1:6" x14ac:dyDescent="0.25">
      <c r="A10" s="10">
        <v>4</v>
      </c>
      <c r="B10" s="9" t="s">
        <v>348</v>
      </c>
      <c r="C10" s="9" t="s">
        <v>349</v>
      </c>
      <c r="D10" s="9" t="s">
        <v>350</v>
      </c>
      <c r="E10" s="9" t="s">
        <v>53</v>
      </c>
      <c r="F10" s="11" t="s">
        <v>53</v>
      </c>
    </row>
  </sheetData>
  <mergeCells count="5">
    <mergeCell ref="B1:F1"/>
    <mergeCell ref="B2:F2"/>
    <mergeCell ref="B3:F3"/>
    <mergeCell ref="B4:F4"/>
    <mergeCell ref="B7:B9"/>
  </mergeCells>
  <conditionalFormatting sqref="F7:F10">
    <cfRule type="cellIs" dxfId="38" priority="1" operator="equal">
      <formula>"PASS"</formula>
    </cfRule>
    <cfRule type="cellIs" dxfId="39" priority="2" operator="equal">
      <formula>"FAIL"</formula>
    </cfRule>
  </conditionalFormatting>
  <dataValidations count="2">
    <dataValidation type="list" allowBlank="1" sqref="F10">
      <formula1>"PASS,FAIL,BLOCKED,N/A"</formula1>
    </dataValidation>
    <dataValidation type="list" allowBlank="1" sqref="F7:F10">
      <formula1>"PASS,FAIL,BLOCKED,N/A"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6" customWidth="1"/>
    <col min="3" max="4" width="52" customWidth="1"/>
    <col min="5" max="5" width="30" customWidth="1"/>
    <col min="6" max="6" width="12" customWidth="1"/>
  </cols>
  <sheetData>
    <row r="1" spans="1:6" x14ac:dyDescent="0.25">
      <c r="A1" s="8" t="s">
        <v>49</v>
      </c>
      <c r="B1" s="9" t="s">
        <v>47</v>
      </c>
      <c r="C1" s="9"/>
      <c r="D1" s="9"/>
      <c r="E1" s="9"/>
      <c r="F1" s="9"/>
    </row>
    <row r="2" ht="90" customHeight="1" spans="1:6" x14ac:dyDescent="0.25">
      <c r="A2" s="8" t="s">
        <v>50</v>
      </c>
      <c r="B2" s="9" t="s">
        <v>351</v>
      </c>
      <c r="C2" s="9"/>
      <c r="D2" s="9"/>
      <c r="E2" s="9"/>
      <c r="F2" s="9"/>
    </row>
    <row r="3" spans="1:6" x14ac:dyDescent="0.25">
      <c r="A3" s="8" t="s">
        <v>52</v>
      </c>
      <c r="B3" s="9" t="s">
        <v>53</v>
      </c>
      <c r="C3" s="9"/>
      <c r="D3" s="9"/>
      <c r="E3" s="9"/>
      <c r="F3" s="9"/>
    </row>
    <row r="4" spans="1:6" x14ac:dyDescent="0.25">
      <c r="A4" s="8" t="s">
        <v>54</v>
      </c>
      <c r="B4" s="9" t="s">
        <v>53</v>
      </c>
      <c r="C4" s="9"/>
      <c r="D4" s="9"/>
      <c r="E4" s="9"/>
      <c r="F4" s="9"/>
    </row>
    <row r="6" spans="1:6" x14ac:dyDescent="0.25">
      <c r="A6" s="1" t="s">
        <v>55</v>
      </c>
      <c r="B6" s="1" t="s">
        <v>56</v>
      </c>
      <c r="C6" s="1" t="s">
        <v>57</v>
      </c>
      <c r="D6" s="1" t="s">
        <v>58</v>
      </c>
      <c r="E6" s="1" t="s">
        <v>59</v>
      </c>
      <c r="F6" s="1" t="s">
        <v>60</v>
      </c>
    </row>
    <row r="7" spans="1:6" x14ac:dyDescent="0.25">
      <c r="A7" s="10">
        <v>1</v>
      </c>
      <c r="B7" s="9" t="s">
        <v>352</v>
      </c>
      <c r="C7" s="9" t="s">
        <v>353</v>
      </c>
      <c r="D7" s="9" t="s">
        <v>354</v>
      </c>
      <c r="E7" s="9" t="s">
        <v>53</v>
      </c>
      <c r="F7" s="11" t="s">
        <v>53</v>
      </c>
    </row>
    <row r="8" spans="1:6" x14ac:dyDescent="0.25">
      <c r="A8" s="10">
        <v>2</v>
      </c>
      <c r="B8" s="9" t="s">
        <v>355</v>
      </c>
      <c r="C8" s="9" t="s">
        <v>356</v>
      </c>
      <c r="D8" s="9" t="s">
        <v>357</v>
      </c>
      <c r="E8" s="9" t="s">
        <v>53</v>
      </c>
      <c r="F8" s="11" t="s">
        <v>53</v>
      </c>
    </row>
    <row r="9" spans="1:6" x14ac:dyDescent="0.25">
      <c r="A9" s="10">
        <v>3</v>
      </c>
      <c r="B9" s="9" t="s">
        <v>358</v>
      </c>
      <c r="C9" s="9" t="s">
        <v>359</v>
      </c>
      <c r="D9" s="9" t="s">
        <v>360</v>
      </c>
      <c r="E9" s="9" t="s">
        <v>53</v>
      </c>
      <c r="F9" s="11" t="s">
        <v>53</v>
      </c>
    </row>
    <row r="10" spans="1:6" x14ac:dyDescent="0.25">
      <c r="A10" s="10">
        <v>4</v>
      </c>
      <c r="B10" s="9" t="s">
        <v>361</v>
      </c>
      <c r="C10" s="9" t="s">
        <v>362</v>
      </c>
      <c r="D10" s="9" t="s">
        <v>363</v>
      </c>
      <c r="E10" s="9" t="s">
        <v>53</v>
      </c>
      <c r="F10" s="11" t="s">
        <v>53</v>
      </c>
    </row>
  </sheetData>
  <mergeCells count="4">
    <mergeCell ref="B1:F1"/>
    <mergeCell ref="B2:F2"/>
    <mergeCell ref="B3:F3"/>
    <mergeCell ref="B4:F4"/>
  </mergeCells>
  <conditionalFormatting sqref="F7:F10">
    <cfRule type="cellIs" dxfId="40" priority="1" operator="equal">
      <formula>"PASS"</formula>
    </cfRule>
    <cfRule type="cellIs" dxfId="41" priority="2" operator="equal">
      <formula>"FAIL"</formula>
    </cfRule>
  </conditionalFormatting>
  <dataValidations count="2">
    <dataValidation type="list" allowBlank="1" sqref="F10">
      <formula1>"PASS,FAIL,BLOCKED,N/A"</formula1>
    </dataValidation>
    <dataValidation type="list" allowBlank="1" sqref="F7:F10">
      <formula1>"PASS,FAIL,BLOCKED,N/A"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Summary</vt:lpstr>
      <vt:lpstr>Authentication &amp; Access</vt:lpstr>
      <vt:lpstr>Dashboard</vt:lpstr>
      <vt:lpstr>Tickets - Create</vt:lpstr>
      <vt:lpstr>Tickets - List (My Tickets)</vt:lpstr>
      <vt:lpstr>Tickets - Detail</vt:lpstr>
      <vt:lpstr>Tickets - Assigned Queue</vt:lpstr>
      <vt:lpstr>Tickets - Approval Queue</vt:lpstr>
      <vt:lpstr>Ticket Management (Admin)</vt:lpstr>
      <vt:lpstr>Comments &amp; Attachments</vt:lpstr>
      <vt:lpstr>Notifications</vt:lpstr>
      <vt:lpstr>Global Search</vt:lpstr>
      <vt:lpstr>Master - Users</vt:lpstr>
      <vt:lpstr>Master - User Groups</vt:lpstr>
      <vt:lpstr>Master - Categories</vt:lpstr>
      <vt:lpstr>Master - Companies</vt:lpstr>
      <vt:lpstr>Master - Departments</vt:lpstr>
      <vt:lpstr>Master - Lesson Learned</vt:lpstr>
      <vt:lpstr>Profile &amp; API Tokens</vt:lpstr>
      <vt:lpstr>Reports</vt:lpstr>
      <vt:lpstr>MCP API</vt:lpstr>
      <vt:lpstr>AI Chat (feature-flagged)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gen-test-cases.mjs</dc:creator>
  <dc:title/>
  <dc:subject/>
  <dc:description/>
  <cp:keywords/>
  <cp:category/>
  <cp:lastModifiedBy>Unknown</cp:lastModifiedBy>
  <dcterms:created xsi:type="dcterms:W3CDTF">2026-09-09T03:49:00Z</dcterms:created>
  <dcterms:modified xsi:type="dcterms:W3CDTF">2026-09-09T03:49:00Z</dcterms:modified>
</cp:coreProperties>
</file>